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V2\"/>
    </mc:Choice>
  </mc:AlternateContent>
  <xr:revisionPtr revIDLastSave="0" documentId="13_ncr:1_{DC15C9EE-FCC8-4923-98AD-7B7C9B271FAC}" xr6:coauthVersionLast="47" xr6:coauthVersionMax="47" xr10:uidLastSave="{00000000-0000-0000-0000-000000000000}"/>
  <bookViews>
    <workbookView xWindow="-120" yWindow="-120" windowWidth="29040" windowHeight="16440" xr2:uid="{DC20AEA7-AEB8-4E8A-A86F-9F59C9A8674E}"/>
  </bookViews>
  <sheets>
    <sheet name="PelletPirate_V2_BOM_2026_05_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sharedStrings.xml><?xml version="1.0" encoding="utf-8"?>
<sst xmlns="http://schemas.openxmlformats.org/spreadsheetml/2006/main" count="513" uniqueCount="390">
  <si>
    <t>Qty</t>
  </si>
  <si>
    <t>Value</t>
  </si>
  <si>
    <t>Voltage / Watts</t>
  </si>
  <si>
    <t>Manufacturer Part Number</t>
  </si>
  <si>
    <t>Footprint</t>
  </si>
  <si>
    <t>C1,C2,C3</t>
  </si>
  <si>
    <t>305V</t>
  </si>
  <si>
    <t>B32921C3103M026</t>
  </si>
  <si>
    <t>495-B32921C3103M026-ND</t>
  </si>
  <si>
    <t>FILM CAP MKP X2 0.010UF 20% 305V</t>
  </si>
  <si>
    <t>Capacitor_THT:C_Rect_L13.0mm_W4.0mm_P10.00mm_FKS3_FKP3_MKS4</t>
  </si>
  <si>
    <t>C4</t>
  </si>
  <si>
    <t>0.1µF 275V X2</t>
  </si>
  <si>
    <t>C5,C6</t>
  </si>
  <si>
    <t>Capacitor_THT:C_Disc_D7.5mm_W5.0mm_P7.50mm</t>
  </si>
  <si>
    <t>C7</t>
  </si>
  <si>
    <t>15µF 450V</t>
  </si>
  <si>
    <t>Capacitor_THT:CP_Radial_D10.0mm_P5.00mm</t>
  </si>
  <si>
    <t>25V</t>
  </si>
  <si>
    <t>C1206C106K3RACTU</t>
  </si>
  <si>
    <t>399-C1206C106K3RACTUCT-ND</t>
  </si>
  <si>
    <t>CAP CER 10UF 25V X7R 1206</t>
  </si>
  <si>
    <t>Capacitor_SMD:C_1206_3216Metric</t>
  </si>
  <si>
    <t>C9</t>
  </si>
  <si>
    <t>C0805C104K3RACTU</t>
  </si>
  <si>
    <t>Capacitor_SMD:C_0805_2012Metric</t>
  </si>
  <si>
    <t>C11,C14</t>
  </si>
  <si>
    <t>C12</t>
  </si>
  <si>
    <t>C13</t>
  </si>
  <si>
    <t>470µF 25V</t>
  </si>
  <si>
    <t>C15</t>
  </si>
  <si>
    <t>220µF 35V</t>
  </si>
  <si>
    <t>Capacitor_THT:CP_Radial_D8.0mm_P3.50mm</t>
  </si>
  <si>
    <t>C16</t>
  </si>
  <si>
    <t>50V</t>
  </si>
  <si>
    <t>C18,C19,C20</t>
  </si>
  <si>
    <t>C21,C22,C23,C24,C25,C26,C27,C28,C29,C30,C31,C32,C33,C34,C35</t>
  </si>
  <si>
    <t>16V</t>
  </si>
  <si>
    <t>CC0805KRX7R7BB104</t>
  </si>
  <si>
    <t>311-1142-1-ND</t>
  </si>
  <si>
    <t>CAP CER 0.1UF 16V X7R 0805</t>
  </si>
  <si>
    <t>C36</t>
  </si>
  <si>
    <t>D1</t>
  </si>
  <si>
    <t>SMBJ20A</t>
  </si>
  <si>
    <t>SMBJ20A_PelletPirate:DIOM5436X261N_PelletPirate</t>
  </si>
  <si>
    <t>D2</t>
  </si>
  <si>
    <t>STPS0540Z</t>
  </si>
  <si>
    <t>STPS0540Z_Schotty Diode LED:SOD-123</t>
  </si>
  <si>
    <t>ESP1</t>
  </si>
  <si>
    <t>ESP32-DEVKITC-32E_PelletPirate</t>
  </si>
  <si>
    <t>ESP32-DevKitC-32E_PelletPirate:MODULE_ESP32-DEVKITC-32E_PelletPirate</t>
  </si>
  <si>
    <t>F1</t>
  </si>
  <si>
    <t>Fuse 2A</t>
  </si>
  <si>
    <t>500V</t>
  </si>
  <si>
    <t>486-1258-ND</t>
  </si>
  <si>
    <t>FUSE BLOK CARTRIDGE 500V 16A PCB</t>
  </si>
  <si>
    <t>0031.8201:SCHURTER_0031.8201</t>
  </si>
  <si>
    <t>FPC1</t>
  </si>
  <si>
    <t>FH26W-39S-0.3SHW_60_</t>
  </si>
  <si>
    <t>n/a</t>
  </si>
  <si>
    <t>FH26W-39S-0.3SHW(60)</t>
  </si>
  <si>
    <t>H125803CT-ND</t>
  </si>
  <si>
    <t>CONN FPC BOTTOM 39POS 0.3MM R/A</t>
  </si>
  <si>
    <t>FPC_Connector_HiRose:HRS_FH26W-39S-0.3SHW_60_</t>
  </si>
  <si>
    <t>J1,J2,J3,J4,J5</t>
  </si>
  <si>
    <t>SJ1-3523NG_Jack_PP</t>
  </si>
  <si>
    <t>3.5mm_Jacks:CUI_SJ1-3523NG_PelletPirate</t>
  </si>
  <si>
    <t>J6</t>
  </si>
  <si>
    <t>Conn_01x04</t>
  </si>
  <si>
    <t>Connector_Hirose:Hirose_DF13-04P-1.25DSA_1x04_P1.25mm_Vertical</t>
  </si>
  <si>
    <t>L1</t>
  </si>
  <si>
    <t>2.2µH</t>
  </si>
  <si>
    <t>2.1A</t>
  </si>
  <si>
    <t>LQH3NPH2R2MMEL</t>
  </si>
  <si>
    <t>490-LQH3NPH2R2MMELCT-ND</t>
  </si>
  <si>
    <t>FIXED IND 2.2UH 2.1A 78 MOHM SMD</t>
  </si>
  <si>
    <t>L2</t>
  </si>
  <si>
    <t>3.3µH</t>
  </si>
  <si>
    <t>L3</t>
  </si>
  <si>
    <t>SRR4028-100Y</t>
  </si>
  <si>
    <t>1.19A</t>
  </si>
  <si>
    <t>SRR4028-100YCT-ND</t>
  </si>
  <si>
    <t>Inductors:SRR4028</t>
  </si>
  <si>
    <t>LF1</t>
  </si>
  <si>
    <t>SSRH7H-M05408</t>
  </si>
  <si>
    <t>500MA</t>
  </si>
  <si>
    <t>399-17043-ND</t>
  </si>
  <si>
    <t>CMC 40.8MH 500MA 2LN TH</t>
  </si>
  <si>
    <t>Kermit_Choke_SSRH7H_MO5408:Kemet_Choke_SSRH7H_M05408</t>
  </si>
  <si>
    <t>MAX1,MAX2,MAX3,MAX4,MAX5</t>
  </si>
  <si>
    <t>MAX31865xTP</t>
  </si>
  <si>
    <t>Package_DFN_QFN:TQFN-20-1EP_5x5mm_P0.65mm_EP3.25x3.25mm</t>
  </si>
  <si>
    <t>MOC3063M-PP2:MOC3063M-PP2</t>
  </si>
  <si>
    <t>MOV1</t>
  </si>
  <si>
    <t>PP_14D561K</t>
  </si>
  <si>
    <t>560V 4.5KA</t>
  </si>
  <si>
    <t>MOV-14D561K</t>
  </si>
  <si>
    <t>118-MOV-14D561K-ND</t>
  </si>
  <si>
    <t>VARISTOR 560V 4.5KA DISC 14MM</t>
  </si>
  <si>
    <t>Varistors_PelletPirate:Varistor_14mm_p7.5mm</t>
  </si>
  <si>
    <t>PS1</t>
  </si>
  <si>
    <t>PBO-5F-12</t>
  </si>
  <si>
    <t>PBO-5F-12_PP_Try2:PBO-5F-12_pp2</t>
  </si>
  <si>
    <t>PS2</t>
  </si>
  <si>
    <t>Buck 3.3V 2A</t>
  </si>
  <si>
    <t>Buck_3.3V:SOT95P280X110-6N</t>
  </si>
  <si>
    <t>PS3</t>
  </si>
  <si>
    <t>TPS61165DBVR</t>
  </si>
  <si>
    <t>IC LED DRV SOT23-6</t>
  </si>
  <si>
    <t>296-27597-1-ND</t>
  </si>
  <si>
    <t>IC LED DRV RGLTR PWM SOT23-6</t>
  </si>
  <si>
    <t>LED_Driver:SOT95P280X145-6N</t>
  </si>
  <si>
    <t>R1,R2,R3</t>
  </si>
  <si>
    <t>1W</t>
  </si>
  <si>
    <t>CRCW251239R0FKEG</t>
  </si>
  <si>
    <t>541-39.0AFCT-ND</t>
  </si>
  <si>
    <t>RES SMD 39 OHM 1% 1W 2512</t>
  </si>
  <si>
    <t>Resistor_SMD:R_2512_6332Metric</t>
  </si>
  <si>
    <t>R4,R5,R6,R26,R27,R28</t>
  </si>
  <si>
    <t>1/4W</t>
  </si>
  <si>
    <t>CRCW1206360RFKEA</t>
  </si>
  <si>
    <t>541-360FCT-ND</t>
  </si>
  <si>
    <t>RES SMD 360 OHM 1% 1/4W 1206</t>
  </si>
  <si>
    <t>Resistor_SMD:R_1206_3216Metric</t>
  </si>
  <si>
    <t>R7,R8,R9</t>
  </si>
  <si>
    <t>Resistor_SMD:R_0805_2012Metric_Pad1.20x1.40mm_HandSolder</t>
  </si>
  <si>
    <t>R13,R14,R18,R20,R29,R30,R31</t>
  </si>
  <si>
    <t>1/8W</t>
  </si>
  <si>
    <t>RC0805FR-0710KL</t>
  </si>
  <si>
    <t>311-10.0KCRCT-ND</t>
  </si>
  <si>
    <t>RES 10K OHM 1% 1/8W 0805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</si>
  <si>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</si>
  <si>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</si>
  <si>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</si>
  <si>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</si>
  <si>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</si>
  <si>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</si>
  <si>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R21,R22,R23,R24,R25</t>
  </si>
  <si>
    <t>RT1206BRD07400RL</t>
  </si>
  <si>
    <t>13-RT1206BRD07400RLCT-ND</t>
  </si>
  <si>
    <t>RES SMD 400 OHM 0.1% 1/4W 1206</t>
  </si>
  <si>
    <t>T1,T2,T3</t>
  </si>
  <si>
    <t>BTA12-Triac</t>
  </si>
  <si>
    <t>Package_TO_SOT_THT:TO-220-3_Vertical</t>
  </si>
  <si>
    <t>Wire - Blue</t>
  </si>
  <si>
    <t>H4BXG-10106-L8</t>
  </si>
  <si>
    <t>H4BXG-10106-L8-ND</t>
  </si>
  <si>
    <t>JUMPER-H9991TR/1852BL/X 6"</t>
  </si>
  <si>
    <t>Wire - Orange</t>
  </si>
  <si>
    <t>H4BXG-10106-A8</t>
  </si>
  <si>
    <t>H4BXG-10106-A8-ND</t>
  </si>
  <si>
    <t>JUMPER-H9991TR/1852OR/X 6"</t>
  </si>
  <si>
    <t>Wire - Yellow</t>
  </si>
  <si>
    <t>H4BXG-10106-Y8</t>
  </si>
  <si>
    <t>H4BXG-10106-Y8-ND</t>
  </si>
  <si>
    <t>JUMPER-H9991TR/1852YL/X 6"</t>
  </si>
  <si>
    <t>Wire - Black</t>
  </si>
  <si>
    <t>H4BXG-10106-B8</t>
  </si>
  <si>
    <t>H4BXG-10106-B8-ND</t>
  </si>
  <si>
    <t>JUMPER-H9991TR/1852BK/X 6"</t>
  </si>
  <si>
    <t>Male 4POS encoder plug</t>
  </si>
  <si>
    <t>DF13-4S-1.25C</t>
  </si>
  <si>
    <t>H2181-ND</t>
  </si>
  <si>
    <t>CONN RCPT HSG 4POS 1.25MM</t>
  </si>
  <si>
    <t>DF13A-4P-1.25H(51)</t>
  </si>
  <si>
    <t>H125779CT-ND</t>
  </si>
  <si>
    <t>CONN HEADER SMD R/A 4POS 1.25MM</t>
  </si>
  <si>
    <t>2A glass fast-blow fuses</t>
  </si>
  <si>
    <t>250V 2A</t>
  </si>
  <si>
    <t>VBS UBM 2A 250V (PF)</t>
  </si>
  <si>
    <t>4598-VBSUBM2A250V(PF)-ND</t>
  </si>
  <si>
    <t>FUSE CERAMIC 2A 250VAC 5X20MM</t>
  </si>
  <si>
    <t>PBO-5F-5</t>
  </si>
  <si>
    <t>AC-DC, 5 W, 5 VDC, SINGLE OUTPUT</t>
  </si>
  <si>
    <t>SMBJ7.0A</t>
  </si>
  <si>
    <t>TVS DIODE 7VWM 12VC DO214AA</t>
  </si>
  <si>
    <t>78F2R2J-RC</t>
  </si>
  <si>
    <t>FIXED IND 2.2UH 630MA 250 MOHM</t>
  </si>
  <si>
    <t>450BXG15MEFC10X20</t>
  </si>
  <si>
    <t>450V</t>
  </si>
  <si>
    <t>35V</t>
  </si>
  <si>
    <t>2A</t>
  </si>
  <si>
    <t>1189-450BXG15MEFC10X20-ND</t>
  </si>
  <si>
    <t>CAP ALUM 450V POLAR</t>
  </si>
  <si>
    <t>179-PBO-5F-12-ND</t>
  </si>
  <si>
    <t>ESP32 Chip</t>
  </si>
  <si>
    <t>ESP32-WROOM-32E-N4</t>
  </si>
  <si>
    <t>Development Parts</t>
  </si>
  <si>
    <t>1965-ESP32-WROOM-32E-N4CT-ND</t>
  </si>
  <si>
    <t>RF TXRX MOD BT WIFI TH SMD</t>
  </si>
  <si>
    <t>TPS562201DDCR</t>
  </si>
  <si>
    <t>296-44397-1-ND</t>
  </si>
  <si>
    <t>IC REG BUCK ADJ 2A SOT23</t>
  </si>
  <si>
    <t>12V 5W</t>
  </si>
  <si>
    <t>AC-DC, 5 W, 12 VDC, SINGLE OUTPU</t>
  </si>
  <si>
    <r>
      <t>39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 xml:space="preserve"> 1W</t>
    </r>
  </si>
  <si>
    <t>360Ω 1/4W</t>
  </si>
  <si>
    <t>330Ω</t>
  </si>
  <si>
    <t>10KΩ 1%</t>
  </si>
  <si>
    <t>100KΩ</t>
  </si>
  <si>
    <t>4.99Ω 1%</t>
  </si>
  <si>
    <t>400Ω</t>
  </si>
  <si>
    <t>10µf 25V</t>
  </si>
  <si>
    <t>0.1µF 50V</t>
  </si>
  <si>
    <t>1µF 50V</t>
  </si>
  <si>
    <t>22µF 16V</t>
  </si>
  <si>
    <t>0.1µF 16V X7R</t>
  </si>
  <si>
    <t>RC0805FR-07200RL</t>
  </si>
  <si>
    <t>RES 200 OHM 1% 1/8W 0805</t>
  </si>
  <si>
    <t>RC0805FR-0722RL</t>
  </si>
  <si>
    <t>RES 22 OHM 1% 1/8W 0805</t>
  </si>
  <si>
    <t>RC0805FR-0733K2L</t>
  </si>
  <si>
    <t>33.2KΩ 1%</t>
  </si>
  <si>
    <t>CC0805KRX7R7BB224</t>
  </si>
  <si>
    <t>CAP CER 0.22UF 16V X7R 0805</t>
  </si>
  <si>
    <t>R46KF310000M1M</t>
  </si>
  <si>
    <t>Extra, duplicate order</t>
  </si>
  <si>
    <t>C8,C10</t>
  </si>
  <si>
    <t>A750MS477M1EAAE015</t>
  </si>
  <si>
    <t>CAP ALUM POLY 470UF 20% 25V TH</t>
  </si>
  <si>
    <t>399-A750MS477M1EAAE015-ND</t>
  </si>
  <si>
    <t>RPF0811221M035K</t>
  </si>
  <si>
    <t>478-RPF0811221M035KCT-ND</t>
  </si>
  <si>
    <t>CAP ALUM POLY 220UF 20% 35V TH</t>
  </si>
  <si>
    <t>line item 10 on order2</t>
  </si>
  <si>
    <t>CAP CER 22UF 16V X7R 1206</t>
  </si>
  <si>
    <t>GRM31CZ71C226ME15L</t>
  </si>
  <si>
    <t>490-GRM31CZ71C226ME15LCT-ND</t>
  </si>
  <si>
    <t>MKS4G032203G00KSSD</t>
  </si>
  <si>
    <t>wrong part</t>
  </si>
  <si>
    <t>CAP FILM 0.22UF 10% 400VDC RAD</t>
  </si>
  <si>
    <t>Wrong Part</t>
  </si>
  <si>
    <t>BTA12-600BWRG</t>
  </si>
  <si>
    <t>600V 12A</t>
  </si>
  <si>
    <t>497-3121-5-ND</t>
  </si>
  <si>
    <t>TRIAC ALTERNISTOR 600V 12A TO220</t>
  </si>
  <si>
    <t>FIXED IND 3.3UH 6.5A 17.2 MOHM</t>
  </si>
  <si>
    <t>LQH43PN3R3M26L</t>
  </si>
  <si>
    <t>490-LQH43PN3R3M26LCT-ND</t>
  </si>
  <si>
    <t>FIXED IND 3.3UH 2.1A 62.4 MOHM</t>
  </si>
  <si>
    <t>2.2uH_Murata_1212_footprint:IND_LQH3NPH2R2MMEL</t>
  </si>
  <si>
    <t>3.3uH_Inductor_Murata:IND_LQH43PN3R3M26L</t>
  </si>
  <si>
    <t>too big for application</t>
  </si>
  <si>
    <t>Too Big</t>
  </si>
  <si>
    <t>440V</t>
  </si>
  <si>
    <t>VY2471K29Y5SS63V7</t>
  </si>
  <si>
    <t>BC2352-ND</t>
  </si>
  <si>
    <t>CAP CER 470PF 440VAC Y5S RAD</t>
  </si>
  <si>
    <t>VY2102M29Y5US63V7</t>
  </si>
  <si>
    <t>BC2354-ND</t>
  </si>
  <si>
    <t>CAP CER 1000PF 440VAC Y5U</t>
  </si>
  <si>
    <t>SJ1-3523NG</t>
  </si>
  <si>
    <t>CP1-3523NG-ND</t>
  </si>
  <si>
    <t>CONN JACK STEREO 3.5MM R/A</t>
  </si>
  <si>
    <t>MOC3063M</t>
  </si>
  <si>
    <t>MOC1,MOC2,MOC3</t>
  </si>
  <si>
    <t>MAX31865ATP+</t>
  </si>
  <si>
    <t>MAX31865ATP+-ND</t>
  </si>
  <si>
    <t>IC RTD TO DIGITAL CONVERT 20QFN</t>
  </si>
  <si>
    <t>Needs</t>
  </si>
  <si>
    <t>mount rails for ESP32 Demo Board</t>
  </si>
  <si>
    <t>120VAC Power rocker switch</t>
  </si>
  <si>
    <t>4.17KV</t>
  </si>
  <si>
    <t>MOC3063M-ND</t>
  </si>
  <si>
    <t>OPTOISOLTR 4.17KV TRIAC 1CH 6DIP</t>
  </si>
  <si>
    <t>duplicate</t>
  </si>
  <si>
    <t>Encoder</t>
  </si>
  <si>
    <t>PEC16-4215F-S0024</t>
  </si>
  <si>
    <t>PEC16-4215F-S0024-ND</t>
  </si>
  <si>
    <t>ENCODER MECH QUAD VERT PC PIN</t>
  </si>
  <si>
    <t>n/a - front cover mount</t>
  </si>
  <si>
    <t>RLB9012-2R2ML</t>
  </si>
  <si>
    <t>replaced with murata</t>
  </si>
  <si>
    <t>FIXED IND 2.2UH 6.5A 21 MOHM TH</t>
  </si>
  <si>
    <t>replaced</t>
  </si>
  <si>
    <t>RMCF0805FT100KCT-ND</t>
  </si>
  <si>
    <t>32.5V</t>
  </si>
  <si>
    <t>SMBJ20ALFCT-ND</t>
  </si>
  <si>
    <t>TVS DIODE 20VWM 32.4VC DO214AA</t>
  </si>
  <si>
    <t>1000pF 440V Y5U</t>
  </si>
  <si>
    <t>SS-5H-2A-APH</t>
  </si>
  <si>
    <t>mistake to order</t>
  </si>
  <si>
    <t>FUSE BOARD MNT 2A 300VAC RADIAL</t>
  </si>
  <si>
    <t>Returns - Digikey</t>
  </si>
  <si>
    <t>Returns - Mouser</t>
  </si>
  <si>
    <t>DIO5661ST6</t>
  </si>
  <si>
    <t>LED Lighting Driver ICs LED Lighting Driver ICs 37V Boost Backlighting Driver with PWM Dimming Support</t>
  </si>
  <si>
    <t>40V 0.5A</t>
  </si>
  <si>
    <t>SRR4028-470Y</t>
  </si>
  <si>
    <t>Power Inductors - SMD Power Inductors - SMD 47uH 30% SMD 4028</t>
  </si>
  <si>
    <t>RC1206FR-074R99L</t>
  </si>
  <si>
    <t>C0603C106M8PACTU</t>
  </si>
  <si>
    <t>Multilayer Ceramic Capacitors MLCC - SMD/SMT Multilayer Ceramic Capacitors MLCC - SMD/SMT 10V 10uF X5R 0603 20%</t>
  </si>
  <si>
    <t>C0603C104K4RACTU</t>
  </si>
  <si>
    <t>Multilayer Ceramic Capacitors MLCC - SMD/SMT Multilayer Ceramic Capacitors MLCC - SMD/SMT 16V 0.1uF X7R 0603 10%</t>
  </si>
  <si>
    <t>Multilayer Ceramic Capacitors MLCC - SMD/SMT Multilayer Ceramic Capacitors MLCC - SMD/SMT 25V 0.1uF X7R 0805 10%</t>
  </si>
  <si>
    <t>wrong value</t>
  </si>
  <si>
    <t>C0805C474K5RACTU</t>
  </si>
  <si>
    <t>Multilayer Ceramic Capacitors MLCC - SMD/SMT Multilayer Ceramic Capacitors MLCC - SMD/SMT 50V 0.47uF X7R 0805 10%</t>
  </si>
  <si>
    <t>LCD Display</t>
  </si>
  <si>
    <t>EA TFT035-34AINN</t>
  </si>
  <si>
    <t>790-EATFT03534-AINN</t>
  </si>
  <si>
    <t>Non-PCB Board Items</t>
  </si>
  <si>
    <t>TFT Displays &amp; Accessories TFT Displays &amp; Accessories 3.5 in TFT for SPI or RGB No Touch</t>
  </si>
  <si>
    <t>EA WF030-39S</t>
  </si>
  <si>
    <t>don't need to stock these</t>
  </si>
  <si>
    <t>TFT Displays &amp; Accessories TFT Displays &amp; Accessories ZIF CONNECTOR .3MM BOTTOM CONTACT</t>
  </si>
  <si>
    <t>ESP32-DevKitC</t>
  </si>
  <si>
    <t>https://www.amazon.com/dp/B09MQJWQN2?ref_=ppx_printOD_title_dt_b_fed_asin_title_0_0&amp;th=1</t>
  </si>
  <si>
    <t>Part Number Link</t>
  </si>
  <si>
    <t>399-11808-ND</t>
  </si>
  <si>
    <t>CAP FILM 0.1UF 20% 560VDC RADIA</t>
  </si>
  <si>
    <t>275V</t>
  </si>
  <si>
    <t>Capacitor_THT:C_Rect_L13.0mm_W6.0mm_P10.00mm_FKS3_FKP3_MKS4</t>
  </si>
  <si>
    <t>ERJ-U06F3300V</t>
  </si>
  <si>
    <t>10-ERJ-U06F3300VCT-ND</t>
  </si>
  <si>
    <t>RES 330 OHM 1% 1/8W 0805</t>
  </si>
  <si>
    <t>ESP32 DevKitC 32E</t>
  </si>
  <si>
    <t>Description</t>
  </si>
  <si>
    <t>497-7538-1-ND</t>
  </si>
  <si>
    <t>DIODE SCHOTTKY 40V 500MA SOD123</t>
  </si>
  <si>
    <t>0.22µF 50V</t>
  </si>
  <si>
    <t>470pF 440V X1Y2</t>
  </si>
  <si>
    <t>0.01µF 305V X2</t>
  </si>
  <si>
    <t>PelletPirate-02x19x2=39:PinHeader_J2x19_P2.54mm_Vertical_PelletPirate</t>
  </si>
  <si>
    <t>PelletPirate-02x19x2=39:PinHeader_J3x19_P2.54mm_Vertical_PelletPirate</t>
  </si>
  <si>
    <t>BCS-119-L-S-TE</t>
  </si>
  <si>
    <t>ESP_J2</t>
  </si>
  <si>
    <t>ESP_J3</t>
  </si>
  <si>
    <t>SAM1011-19-ND</t>
  </si>
  <si>
    <t>CONN RCPT 19POS 0.1 GOLD PCB</t>
  </si>
  <si>
    <t>Manufacturer</t>
  </si>
  <si>
    <t>TDK</t>
  </si>
  <si>
    <t>KEMET</t>
  </si>
  <si>
    <t>Vishay Beyschlag/Draloric/BC Components</t>
  </si>
  <si>
    <t>Rubycon</t>
  </si>
  <si>
    <t>KYOCERA AVX</t>
  </si>
  <si>
    <t>MURATA ELECTRONICS</t>
  </si>
  <si>
    <t>YAGEO</t>
  </si>
  <si>
    <t>LITTLEFUSE INC.</t>
  </si>
  <si>
    <t>STMICROELECTRONICS</t>
  </si>
  <si>
    <t>SAMTEC INC.</t>
  </si>
  <si>
    <t>SCHURTER INC.</t>
  </si>
  <si>
    <t>HIROSE ELECTRIC COMPANY LIMITED</t>
  </si>
  <si>
    <t>SAME SKY</t>
  </si>
  <si>
    <t>BOURNS INC.</t>
  </si>
  <si>
    <t>ANALOG DEVICES INC.</t>
  </si>
  <si>
    <t>ONSEMI</t>
  </si>
  <si>
    <t>BEL POWER SOLUTIONS</t>
  </si>
  <si>
    <t>TEXAS INSTRUMENTS</t>
  </si>
  <si>
    <t>VISHAY DALE</t>
  </si>
  <si>
    <t>PANASONIC INDUSTRY</t>
  </si>
  <si>
    <t>Designator</t>
  </si>
  <si>
    <t>311-4.99FRCT-ND</t>
  </si>
  <si>
    <t>System</t>
  </si>
  <si>
    <t>Grill</t>
  </si>
  <si>
    <t>0.1µF 25V</t>
  </si>
  <si>
    <t>PS2, PS3</t>
  </si>
  <si>
    <t>MAX</t>
  </si>
  <si>
    <t>ESP</t>
  </si>
  <si>
    <t>LCD</t>
  </si>
  <si>
    <t>ENC</t>
  </si>
  <si>
    <t>ESP, PS2</t>
  </si>
  <si>
    <t>sort</t>
  </si>
  <si>
    <t>C320C104K5R5TA</t>
  </si>
  <si>
    <t>CAP CER 0.1UF 50V X7R RADIAL</t>
  </si>
  <si>
    <t>Capacitor_RADIAL</t>
  </si>
  <si>
    <t>Vishay Dale</t>
  </si>
  <si>
    <t>RLR05C1003FSRE6</t>
  </si>
  <si>
    <t>RES 33K OHM 1% 1/8W AXIAL</t>
  </si>
  <si>
    <t>RES 100K OHM 1% 1/8W AXIAL</t>
  </si>
  <si>
    <t>Stackpole Electronics</t>
  </si>
  <si>
    <t>738-RNF18FTD33K0CT-ND</t>
  </si>
  <si>
    <t>541-RLR05C1003FSRE6CT-ND</t>
  </si>
  <si>
    <t>399-4264-ND</t>
  </si>
  <si>
    <t>CAP CER 1UF 50V X7R RADIAL</t>
  </si>
  <si>
    <t>C320C105K5R5TA</t>
  </si>
  <si>
    <t>399-C320C105K5R5TA-ND</t>
  </si>
  <si>
    <t>C320C224K5R5TA</t>
  </si>
  <si>
    <t>399-4288-ND</t>
  </si>
  <si>
    <t>CAP CER 0.22UF 50V X7R RADIAL</t>
  </si>
  <si>
    <t>C320C104K3R5TA</t>
  </si>
  <si>
    <t>399-C320C104K3R5TA-ND</t>
  </si>
  <si>
    <t>PS2-Breadboard Mount</t>
  </si>
  <si>
    <t>PA0085</t>
  </si>
  <si>
    <t>SOT23-6 PCB MOUNT TO BREADBOARD SIP</t>
  </si>
  <si>
    <t>SIP BREADBOARD</t>
  </si>
  <si>
    <t>0.1 µF ±10% 25V Ceramic Capacitor X7R Radial</t>
  </si>
  <si>
    <t>Radial</t>
  </si>
  <si>
    <t>10 µH Shielded Drum Core, Wirewound Inductor 1.19 A 110mOhm Max 1919 (4848 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</si>
</sst>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80623"/>
      <name val="Roboto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rgb="FF0070BB"/>
      <name val="Arial"/>
      <family val="2"/>
    </font>
    <font>
      <strike/>
      <sz val="11"/>
      <color theme="1"/>
      <name val="Calibri"/>
      <family val="2"/>
      <scheme val="minor"/>
    </font>
    <font>
      <strike/>
      <sz val="9"/>
      <color rgb="FF080623"/>
      <name val="Roboto"/>
    </font>
    <font>
      <strike/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rgb="FF444444"/>
      <name val="Roboto"/>
    </font>
    <font>
      <b/>
      <sz val="14"/>
      <color rgb="FF00B05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0" xfId="42" applyAlignment="1">
      <alignment wrapText="1"/>
    </xf>
    <xf numFmtId="0" fontId="19" fillId="0" borderId="0" xfId="0" applyFont="1" applyAlignment="1">
      <alignment horizontal="left" vertical="center" wrapText="1"/>
    </xf>
    <xf numFmtId="0" fontId="0" fillId="33" borderId="0" xfId="0" applyFill="1" applyAlignment="1">
      <alignment horizontal="center"/>
    </xf>
    <xf numFmtId="0" fontId="0" fillId="33" borderId="0" xfId="0" applyFill="1"/>
    <xf numFmtId="0" fontId="19" fillId="33" borderId="0" xfId="0" applyFont="1" applyFill="1"/>
    <xf numFmtId="0" fontId="19" fillId="33" borderId="0" xfId="0" applyFont="1" applyFill="1" applyAlignment="1">
      <alignment horizontal="left"/>
    </xf>
    <xf numFmtId="0" fontId="0" fillId="34" borderId="0" xfId="0" applyFill="1" applyAlignment="1">
      <alignment horizontal="center"/>
    </xf>
    <xf numFmtId="0" fontId="0" fillId="34" borderId="0" xfId="0" applyFill="1"/>
    <xf numFmtId="0" fontId="0" fillId="35" borderId="0" xfId="0" applyFill="1" applyAlignment="1">
      <alignment horizontal="center"/>
    </xf>
    <xf numFmtId="0" fontId="0" fillId="35" borderId="0" xfId="0" applyFill="1"/>
    <xf numFmtId="0" fontId="19" fillId="35" borderId="0" xfId="0" applyFont="1" applyFill="1"/>
    <xf numFmtId="0" fontId="23" fillId="0" borderId="0" xfId="0" applyFont="1" applyAlignment="1">
      <alignment wrapText="1"/>
    </xf>
    <xf numFmtId="0" fontId="0" fillId="35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3" borderId="0" xfId="0" applyFill="1" applyAlignment="1">
      <alignment wrapText="1"/>
    </xf>
    <xf numFmtId="0" fontId="20" fillId="0" borderId="0" xfId="0" applyFont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8" fillId="0" borderId="0" xfId="42" applyFill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8" fillId="0" borderId="11" xfId="42" applyFill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8" fillId="0" borderId="12" xfId="42" applyBorder="1" applyAlignment="1">
      <alignment vertical="center" wrapText="1"/>
    </xf>
    <xf numFmtId="0" fontId="0" fillId="35" borderId="14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25" fillId="33" borderId="14" xfId="0" applyFont="1" applyFill="1" applyBorder="1" applyAlignment="1">
      <alignment vertical="center" wrapText="1"/>
    </xf>
    <xf numFmtId="0" fontId="27" fillId="0" borderId="0" xfId="42" applyFont="1" applyFill="1" applyBorder="1" applyAlignment="1">
      <alignment vertical="center" wrapText="1"/>
    </xf>
    <xf numFmtId="0" fontId="28" fillId="35" borderId="14" xfId="0" applyFont="1" applyFill="1" applyBorder="1" applyAlignment="1">
      <alignment vertical="center" wrapText="1"/>
    </xf>
    <xf numFmtId="0" fontId="28" fillId="33" borderId="14" xfId="0" applyFont="1" applyFill="1" applyBorder="1" applyAlignment="1">
      <alignment vertical="center" wrapText="1"/>
    </xf>
    <xf numFmtId="0" fontId="29" fillId="0" borderId="0" xfId="0" applyFont="1"/>
    <xf numFmtId="0" fontId="0" fillId="0" borderId="15" xfId="0" applyBorder="1" applyAlignment="1">
      <alignment horizontal="center" vertical="center" wrapText="1"/>
    </xf>
    <xf numFmtId="0" fontId="18" fillId="0" borderId="10" xfId="42" applyBorder="1"/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5" fillId="0" borderId="18" xfId="0" applyFont="1" applyBorder="1" applyAlignment="1">
      <alignment vertical="center" wrapText="1"/>
    </xf>
    <xf numFmtId="0" fontId="18" fillId="0" borderId="0" xfId="42" applyBorder="1"/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30" fillId="33" borderId="13" xfId="0" applyFont="1" applyFill="1" applyBorder="1" applyAlignment="1">
      <alignment vertical="center" wrapText="1"/>
    </xf>
    <xf numFmtId="0" fontId="28" fillId="36" borderId="14" xfId="0" applyFont="1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hirose-electric-co-ltd/H4BXG-10106-A8/426107" TargetMode="External"/><Relationship Id="rId18" Type="http://schemas.openxmlformats.org/officeDocument/2006/relationships/hyperlink" Target="https://www.digikey.com/en/products/detail/vishay-dale/CRCW251239R0FKEG/1199024" TargetMode="External"/><Relationship Id="rId26" Type="http://schemas.openxmlformats.org/officeDocument/2006/relationships/hyperlink" Target="https://www.digikey.com/en/products/detail/kyocera-avx/RPF0811221M035K/20096675" TargetMode="External"/><Relationship Id="rId39" Type="http://schemas.openxmlformats.org/officeDocument/2006/relationships/hyperlink" Target="https://www.digikey.com/en/products/detail/kemet/R46KF310000M1M/5177298" TargetMode="External"/><Relationship Id="rId21" Type="http://schemas.openxmlformats.org/officeDocument/2006/relationships/hyperlink" Target="https://www.digikey.com/en/products/detail/rubycon/450BXG15MEFC10X20/23330777" TargetMode="External"/><Relationship Id="rId34" Type="http://schemas.openxmlformats.org/officeDocument/2006/relationships/hyperlink" Target="https://www.digikey.com/en/products/detail/onsemi/MOC3063M/281237" TargetMode="External"/><Relationship Id="rId42" Type="http://schemas.openxmlformats.org/officeDocument/2006/relationships/hyperlink" Target="https://www.digikey.com/en/products/detail/samtec-inc/BCS-119-L-S-TE/1100402" TargetMode="External"/><Relationship Id="rId47" Type="http://schemas.openxmlformats.org/officeDocument/2006/relationships/hyperlink" Target="https://www.digikey.com/en/products/detail/vishay-dale/RLR05C1003FSRE6/10575551" TargetMode="External"/><Relationship Id="rId50" Type="http://schemas.openxmlformats.org/officeDocument/2006/relationships/hyperlink" Target="https://www.digikey.com/en/products/detail/kemet/C320C224K5R5TA/818064" TargetMode="External"/><Relationship Id="rId7" Type="http://schemas.openxmlformats.org/officeDocument/2006/relationships/hyperlink" Target="https://www.digikey.com/en/products/detail/yageo/CC0805KRX7R7BB104/302876" TargetMode="External"/><Relationship Id="rId2" Type="http://schemas.openxmlformats.org/officeDocument/2006/relationships/hyperlink" Target="https://www.digikey.com/en/products/detail/schurter-inc/0031-8201/669925" TargetMode="External"/><Relationship Id="rId16" Type="http://schemas.openxmlformats.org/officeDocument/2006/relationships/hyperlink" Target="https://www.digikey.com/en/products/detail/hirose-electric-co-ltd/DF13-4S-1-25C/241750" TargetMode="External"/><Relationship Id="rId29" Type="http://schemas.openxmlformats.org/officeDocument/2006/relationships/hyperlink" Target="https://www.digikey.com/en/products/detail/murata-electronics/LQH43PN3R3M26L/4359202" TargetMode="External"/><Relationship Id="rId11" Type="http://schemas.openxmlformats.org/officeDocument/2006/relationships/hyperlink" Target="https://www.digikey.com/en/products/detail/hirose-electric-co-ltd/FH26W-39S-0-3SHW-60/5132503" TargetMode="External"/><Relationship Id="rId24" Type="http://schemas.openxmlformats.org/officeDocument/2006/relationships/hyperlink" Target="https://www.digikey.com/en/products/detail/texas-instruments/TPS562201DDCR/5808210" TargetMode="External"/><Relationship Id="rId32" Type="http://schemas.openxmlformats.org/officeDocument/2006/relationships/hyperlink" Target="https://www.digikey.com/en/products/detail/same-sky-formerly-cui-devices/SJ1-3523NG/738692" TargetMode="External"/><Relationship Id="rId37" Type="http://schemas.openxmlformats.org/officeDocument/2006/relationships/hyperlink" Target="https://www.digikey.com/en/products/detail/hirose-electric-co-ltd/DF13A-4P-1-25H-51/4282225" TargetMode="External"/><Relationship Id="rId40" Type="http://schemas.openxmlformats.org/officeDocument/2006/relationships/hyperlink" Target="https://www.digikey.com/en/products/detail/panasonic-industry/ERJ-U06F3300V/11630222" TargetMode="External"/><Relationship Id="rId45" Type="http://schemas.openxmlformats.org/officeDocument/2006/relationships/hyperlink" Target="https://www.digikey.com/en/products/detail/stackpole-electronics-inc/RMCF0805FT100K/1760712" TargetMode="External"/><Relationship Id="rId5" Type="http://schemas.openxmlformats.org/officeDocument/2006/relationships/hyperlink" Target="https://www.digikey.com/en/products/detail/yageo/RT1206BRD07400RL/5936956" TargetMode="External"/><Relationship Id="rId15" Type="http://schemas.openxmlformats.org/officeDocument/2006/relationships/hyperlink" Target="https://www.digikey.com/en/products/detail/hirose-electric-co-ltd/H4BXG-10106-B8/426114" TargetMode="External"/><Relationship Id="rId23" Type="http://schemas.openxmlformats.org/officeDocument/2006/relationships/hyperlink" Target="https://www.digikey.com/en/products/detail/espressif-systems/ESP32-WROOM-32E-N4/11613125" TargetMode="External"/><Relationship Id="rId28" Type="http://schemas.openxmlformats.org/officeDocument/2006/relationships/hyperlink" Target="https://www.digikey.com/en/products/detail/stmicroelectronics/BTA12-600BWRG/654429" TargetMode="External"/><Relationship Id="rId36" Type="http://schemas.openxmlformats.org/officeDocument/2006/relationships/hyperlink" Target="https://www.digikey.com/en/products/detail/littelfuse-inc/SMBJ20A/285988" TargetMode="External"/><Relationship Id="rId49" Type="http://schemas.openxmlformats.org/officeDocument/2006/relationships/hyperlink" Target="https://www.digikey.com/en/products/detail/kemet/C320C105K5R5TA/12701317" TargetMode="External"/><Relationship Id="rId10" Type="http://schemas.openxmlformats.org/officeDocument/2006/relationships/hyperlink" Target="https://www.digikey.com/en/products/detail/bourns-inc/SRR4028-100Y/1970246" TargetMode="External"/><Relationship Id="rId19" Type="http://schemas.openxmlformats.org/officeDocument/2006/relationships/hyperlink" Target="https://www.digikey.com/en/products/detail/vishay-dale/CRCW1206360RFKEA/1176592" TargetMode="External"/><Relationship Id="rId31" Type="http://schemas.openxmlformats.org/officeDocument/2006/relationships/hyperlink" Target="https://www.digikey.com/en/products/detail/vishay-beyschlag-draloric-bc-components/VY2102M29Y5US63V7/1983393" TargetMode="External"/><Relationship Id="rId44" Type="http://schemas.openxmlformats.org/officeDocument/2006/relationships/hyperlink" Target="https://www.digikey.com/en/products/detail/yageo/RC1206FR-074R99L/728895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conquer/VBS-UBM-2A-250V-PF/16928248" TargetMode="External"/><Relationship Id="rId9" Type="http://schemas.openxmlformats.org/officeDocument/2006/relationships/hyperlink" Target="https://www.digikey.com/en/products/detail/kemet/C1206C106K3RACTU/3317648" TargetMode="External"/><Relationship Id="rId14" Type="http://schemas.openxmlformats.org/officeDocument/2006/relationships/hyperlink" Target="https://www.digikey.com/en/products/detail/hirose-electric-co-ltd/H4BXG-10106-Y8/426178" TargetMode="External"/><Relationship Id="rId22" Type="http://schemas.openxmlformats.org/officeDocument/2006/relationships/hyperlink" Target="https://www.digikey.com/en/products/detail/bel-power-solutions/PBO-5F-12/28717413" TargetMode="External"/><Relationship Id="rId27" Type="http://schemas.openxmlformats.org/officeDocument/2006/relationships/hyperlink" Target="https://www.digikey.com/en/products/detail/murata-electronics/GRM31CZ71C226ME15L/13904808" TargetMode="External"/><Relationship Id="rId30" Type="http://schemas.openxmlformats.org/officeDocument/2006/relationships/hyperlink" Target="https://www.digikey.com/en/products/detail/vishay-beyschlag-draloric-bc-components/VY2471K29Y5SS63V7/1983391" TargetMode="External"/><Relationship Id="rId35" Type="http://schemas.openxmlformats.org/officeDocument/2006/relationships/hyperlink" Target="https://www.digikey.com/en/products/detail/bourns-inc/PEC16-4215F-S0024/3534280" TargetMode="External"/><Relationship Id="rId43" Type="http://schemas.openxmlformats.org/officeDocument/2006/relationships/hyperlink" Target="https://www.digikey.com/en/products/detail/samtec-inc/BCS-119-L-S-TE/1100402" TargetMode="External"/><Relationship Id="rId48" Type="http://schemas.openxmlformats.org/officeDocument/2006/relationships/hyperlink" Target="https://www.digikey.com/en/products/detail/kemet/C320C104K5R5TA/818040" TargetMode="External"/><Relationship Id="rId8" Type="http://schemas.openxmlformats.org/officeDocument/2006/relationships/hyperlink" Target="https://www.digikey.com/en/products/detail/texas-instruments/TPS61165DBVR/2340764" TargetMode="External"/><Relationship Id="rId51" Type="http://schemas.openxmlformats.org/officeDocument/2006/relationships/hyperlink" Target="https://www.digikey.com/en/products/detail/kemet/C320C104K3R5TA/12701287" TargetMode="External"/><Relationship Id="rId3" Type="http://schemas.openxmlformats.org/officeDocument/2006/relationships/hyperlink" Target="https://www.digikey.com/en/products/detail/kemet/SSRH7H-M05408/8509242" TargetMode="External"/><Relationship Id="rId12" Type="http://schemas.openxmlformats.org/officeDocument/2006/relationships/hyperlink" Target="https://www.digikey.com/en/products/detail/hirose-electric-co-ltd/H4BXG-10106-L8/426130" TargetMode="External"/><Relationship Id="rId17" Type="http://schemas.openxmlformats.org/officeDocument/2006/relationships/hyperlink" Target="https://www.digikey.com/en/products/detail/tdk/B32921C3103M026/21191954" TargetMode="External"/><Relationship Id="rId25" Type="http://schemas.openxmlformats.org/officeDocument/2006/relationships/hyperlink" Target="https://www.digikey.com/en/products/detail/kemet/A750MS477M1EAAE015/6196448" TargetMode="External"/><Relationship Id="rId33" Type="http://schemas.openxmlformats.org/officeDocument/2006/relationships/hyperlink" Target="https://www.digikey.com/en/products/detail/analog-devices-inc-maxim-integrated/MAX31865ATP/3681476" TargetMode="External"/><Relationship Id="rId38" Type="http://schemas.openxmlformats.org/officeDocument/2006/relationships/hyperlink" Target="https://www.amazon.com/dp/B09MQJWQN2?ref_=ppx_printOD_title_dt_b_fed_asin_title_0_0&amp;th=1" TargetMode="External"/><Relationship Id="rId46" Type="http://schemas.openxmlformats.org/officeDocument/2006/relationships/hyperlink" Target="https://www.digikey.com/en/products/detail/stackpole-electronics-inc/RNF18FTD33K0/6269944" TargetMode="External"/><Relationship Id="rId20" Type="http://schemas.openxmlformats.org/officeDocument/2006/relationships/hyperlink" Target="https://www.digikey.com/en/products/detail/murata-electronics/LQH3NPH2R2MMEL/12476579" TargetMode="External"/><Relationship Id="rId41" Type="http://schemas.openxmlformats.org/officeDocument/2006/relationships/hyperlink" Target="https://www.digikey.com/en/products/detail/stmicroelectronics/STPS0540Z/1039586" TargetMode="External"/><Relationship Id="rId1" Type="http://schemas.openxmlformats.org/officeDocument/2006/relationships/hyperlink" Target="https://www.digikey.com/en/products/detail/bourns-inc/MOV-14D561K/2798251" TargetMode="External"/><Relationship Id="rId6" Type="http://schemas.openxmlformats.org/officeDocument/2006/relationships/hyperlink" Target="https://www.digikey.com/en/products/detail/yageo/RC0805FR-0710KL/727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237-39DE-4124-BD23-7139C3DA9D9C}">
  <dimension ref="A1:L97"/>
  <sheetViews>
    <sheetView tabSelected="1" topLeftCell="I1" workbookViewId="0">
      <pane ySplit="1" topLeftCell="A2" activePane="bottomLeft" state="frozen"/>
      <selection pane="bottomLeft" activeCell="W5" sqref="W5"/>
    </sheetView>
  </sheetViews>
  <sheetFormatPr defaultRowHeight="15" x14ac:dyDescent="0.25"/>
  <cols>
    <col min="1" max="1" width="9.140625" style="1"/>
    <col min="2" max="2" width="31.140625" customWidth="1"/>
    <col min="3" max="3" width="4.85546875" style="1" bestFit="1" customWidth="1"/>
    <col min="4" max="4" width="13.140625" style="1" customWidth="1"/>
    <col min="5" max="5" width="9.140625" style="1"/>
    <col min="6" max="6" width="24.140625" customWidth="1"/>
    <col min="7" max="7" width="19.140625" style="5" customWidth="1"/>
    <col min="8" max="8" width="21.7109375" style="5" customWidth="1"/>
    <col min="9" max="9" width="25.140625" bestFit="1" customWidth="1"/>
    <col min="10" max="10" width="30.28515625" customWidth="1"/>
    <col min="11" max="11" width="35.7109375" customWidth="1"/>
    <col min="12" max="12" width="57.42578125" customWidth="1"/>
  </cols>
  <sheetData>
    <row r="1" spans="1:12" ht="15.75" x14ac:dyDescent="0.25">
      <c r="B1" s="10" t="s">
        <v>352</v>
      </c>
      <c r="C1" s="9" t="s">
        <v>363</v>
      </c>
      <c r="D1" s="9" t="s">
        <v>354</v>
      </c>
      <c r="E1" s="9" t="s">
        <v>0</v>
      </c>
      <c r="F1" s="10" t="s">
        <v>1</v>
      </c>
      <c r="G1" s="29" t="s">
        <v>2</v>
      </c>
      <c r="H1" s="29" t="s">
        <v>331</v>
      </c>
      <c r="I1" s="10" t="s">
        <v>3</v>
      </c>
      <c r="J1" s="10" t="s">
        <v>309</v>
      </c>
      <c r="K1" s="10" t="s">
        <v>318</v>
      </c>
      <c r="L1" s="10" t="s">
        <v>4</v>
      </c>
    </row>
    <row r="2" spans="1:12" s="6" customFormat="1" ht="30" x14ac:dyDescent="0.25">
      <c r="A2" s="13"/>
      <c r="B2" s="6" t="s">
        <v>67</v>
      </c>
      <c r="C2" s="13">
        <v>22</v>
      </c>
      <c r="D2" s="13" t="s">
        <v>361</v>
      </c>
      <c r="E2" s="13">
        <v>1</v>
      </c>
      <c r="F2" s="6" t="s">
        <v>68</v>
      </c>
      <c r="G2" s="6" t="s">
        <v>59</v>
      </c>
      <c r="H2" s="6" t="s">
        <v>343</v>
      </c>
      <c r="I2" s="5" t="s">
        <v>164</v>
      </c>
      <c r="J2" s="18" t="s">
        <v>165</v>
      </c>
      <c r="K2" s="5" t="s">
        <v>166</v>
      </c>
      <c r="L2" s="6" t="s">
        <v>69</v>
      </c>
    </row>
    <row r="3" spans="1:12" s="6" customFormat="1" x14ac:dyDescent="0.25">
      <c r="A3" s="13"/>
      <c r="B3" s="6" t="s">
        <v>327</v>
      </c>
      <c r="C3" s="13">
        <v>17</v>
      </c>
      <c r="D3" s="13" t="s">
        <v>359</v>
      </c>
      <c r="E3" s="13">
        <v>1</v>
      </c>
      <c r="F3" s="6" t="s">
        <v>327</v>
      </c>
      <c r="G3" s="6" t="s">
        <v>59</v>
      </c>
      <c r="H3" s="6" t="s">
        <v>341</v>
      </c>
      <c r="I3" s="3" t="s">
        <v>326</v>
      </c>
      <c r="J3" s="2" t="s">
        <v>329</v>
      </c>
      <c r="K3" s="3" t="s">
        <v>330</v>
      </c>
      <c r="L3" s="6" t="s">
        <v>324</v>
      </c>
    </row>
    <row r="4" spans="1:12" s="6" customFormat="1" ht="15.75" thickBot="1" x14ac:dyDescent="0.3">
      <c r="A4" s="13"/>
      <c r="B4" s="6" t="s">
        <v>328</v>
      </c>
      <c r="C4" s="13">
        <v>18</v>
      </c>
      <c r="D4" s="13" t="s">
        <v>359</v>
      </c>
      <c r="E4" s="13">
        <v>1</v>
      </c>
      <c r="F4" s="6" t="s">
        <v>328</v>
      </c>
      <c r="G4" s="6" t="s">
        <v>59</v>
      </c>
      <c r="H4" s="6" t="s">
        <v>341</v>
      </c>
      <c r="I4" s="3" t="s">
        <v>326</v>
      </c>
      <c r="J4" s="2" t="s">
        <v>329</v>
      </c>
      <c r="K4" s="3" t="s">
        <v>330</v>
      </c>
      <c r="L4" s="6" t="s">
        <v>325</v>
      </c>
    </row>
    <row r="5" spans="1:12" s="42" customFormat="1" ht="30.75" thickBot="1" x14ac:dyDescent="0.3">
      <c r="A5" s="13"/>
      <c r="B5" s="45" t="s">
        <v>126</v>
      </c>
      <c r="C5" s="41">
        <v>36</v>
      </c>
      <c r="D5" s="41" t="s">
        <v>362</v>
      </c>
      <c r="E5" s="41">
        <v>7</v>
      </c>
      <c r="F5" s="42" t="s">
        <v>198</v>
      </c>
      <c r="G5" s="42" t="s">
        <v>127</v>
      </c>
      <c r="H5" s="42" t="s">
        <v>338</v>
      </c>
      <c r="I5" s="42" t="s">
        <v>128</v>
      </c>
      <c r="J5" s="43" t="s">
        <v>129</v>
      </c>
      <c r="K5" s="42" t="s">
        <v>130</v>
      </c>
      <c r="L5" s="42" t="s">
        <v>125</v>
      </c>
    </row>
    <row r="6" spans="1:12" s="6" customFormat="1" ht="30" x14ac:dyDescent="0.25">
      <c r="A6" s="13"/>
      <c r="B6" s="6" t="s">
        <v>5</v>
      </c>
      <c r="C6" s="13">
        <v>1</v>
      </c>
      <c r="D6" s="13" t="s">
        <v>355</v>
      </c>
      <c r="E6" s="13">
        <v>3</v>
      </c>
      <c r="F6" s="6" t="s">
        <v>323</v>
      </c>
      <c r="G6" s="6" t="s">
        <v>6</v>
      </c>
      <c r="H6" s="6" t="s">
        <v>332</v>
      </c>
      <c r="I6" s="6" t="s">
        <v>7</v>
      </c>
      <c r="J6" s="14" t="s">
        <v>8</v>
      </c>
      <c r="K6" s="6" t="s">
        <v>9</v>
      </c>
      <c r="L6" s="6" t="s">
        <v>10</v>
      </c>
    </row>
    <row r="7" spans="1:12" s="6" customFormat="1" x14ac:dyDescent="0.25">
      <c r="A7" s="13"/>
      <c r="B7" s="6" t="s">
        <v>255</v>
      </c>
      <c r="C7" s="13">
        <v>28</v>
      </c>
      <c r="D7" s="13" t="s">
        <v>355</v>
      </c>
      <c r="E7" s="13">
        <v>3</v>
      </c>
      <c r="F7" s="6" t="s">
        <v>254</v>
      </c>
      <c r="G7" s="6" t="s">
        <v>262</v>
      </c>
      <c r="H7" s="6" t="s">
        <v>347</v>
      </c>
      <c r="I7" s="15" t="s">
        <v>254</v>
      </c>
      <c r="J7" s="14" t="s">
        <v>263</v>
      </c>
      <c r="K7" s="15" t="s">
        <v>264</v>
      </c>
      <c r="L7" s="6" t="s">
        <v>92</v>
      </c>
    </row>
    <row r="8" spans="1:12" s="6" customFormat="1" x14ac:dyDescent="0.25">
      <c r="A8" s="13"/>
      <c r="B8" s="6" t="s">
        <v>112</v>
      </c>
      <c r="C8" s="13">
        <v>33</v>
      </c>
      <c r="D8" s="13" t="s">
        <v>355</v>
      </c>
      <c r="E8" s="13">
        <v>3</v>
      </c>
      <c r="F8" s="6" t="s">
        <v>195</v>
      </c>
      <c r="G8" s="6" t="s">
        <v>113</v>
      </c>
      <c r="H8" s="6" t="s">
        <v>350</v>
      </c>
      <c r="I8" s="6" t="s">
        <v>114</v>
      </c>
      <c r="J8" s="14" t="s">
        <v>115</v>
      </c>
      <c r="K8" s="6" t="s">
        <v>116</v>
      </c>
      <c r="L8" s="6" t="s">
        <v>117</v>
      </c>
    </row>
    <row r="9" spans="1:12" s="6" customFormat="1" x14ac:dyDescent="0.25">
      <c r="A9" s="13"/>
      <c r="B9" s="6" t="s">
        <v>118</v>
      </c>
      <c r="C9" s="13">
        <v>34</v>
      </c>
      <c r="D9" s="13" t="s">
        <v>355</v>
      </c>
      <c r="E9" s="13">
        <v>6</v>
      </c>
      <c r="F9" s="6" t="s">
        <v>196</v>
      </c>
      <c r="G9" s="6" t="s">
        <v>119</v>
      </c>
      <c r="H9" s="6" t="s">
        <v>350</v>
      </c>
      <c r="I9" s="6" t="s">
        <v>120</v>
      </c>
      <c r="J9" s="14" t="s">
        <v>121</v>
      </c>
      <c r="K9" s="6" t="s">
        <v>122</v>
      </c>
      <c r="L9" s="6" t="s">
        <v>123</v>
      </c>
    </row>
    <row r="10" spans="1:12" s="6" customFormat="1" ht="30" x14ac:dyDescent="0.25">
      <c r="A10" s="13"/>
      <c r="B10" s="6" t="s">
        <v>124</v>
      </c>
      <c r="C10" s="13">
        <v>35</v>
      </c>
      <c r="D10" s="13" t="s">
        <v>355</v>
      </c>
      <c r="E10" s="13">
        <v>3</v>
      </c>
      <c r="F10" s="6" t="s">
        <v>197</v>
      </c>
      <c r="H10" s="6" t="s">
        <v>351</v>
      </c>
      <c r="I10" s="3" t="s">
        <v>314</v>
      </c>
      <c r="J10" s="2" t="s">
        <v>315</v>
      </c>
      <c r="K10" s="3" t="s">
        <v>316</v>
      </c>
      <c r="L10" s="6" t="s">
        <v>125</v>
      </c>
    </row>
    <row r="11" spans="1:12" s="6" customFormat="1" x14ac:dyDescent="0.25">
      <c r="A11" s="13"/>
      <c r="B11" s="6" t="s">
        <v>137</v>
      </c>
      <c r="C11" s="13">
        <v>41</v>
      </c>
      <c r="D11" s="13" t="s">
        <v>355</v>
      </c>
      <c r="E11" s="13">
        <v>5</v>
      </c>
      <c r="F11" s="6" t="s">
        <v>201</v>
      </c>
      <c r="G11" s="6" t="s">
        <v>119</v>
      </c>
      <c r="H11" s="6" t="s">
        <v>338</v>
      </c>
      <c r="I11" s="6" t="s">
        <v>138</v>
      </c>
      <c r="J11" s="14" t="s">
        <v>139</v>
      </c>
      <c r="K11" s="6" t="s">
        <v>140</v>
      </c>
      <c r="L11" s="6" t="s">
        <v>123</v>
      </c>
    </row>
    <row r="12" spans="1:12" s="6" customFormat="1" x14ac:dyDescent="0.25">
      <c r="A12" s="13"/>
      <c r="B12" s="6" t="s">
        <v>141</v>
      </c>
      <c r="C12" s="13">
        <v>42</v>
      </c>
      <c r="D12" s="13" t="s">
        <v>355</v>
      </c>
      <c r="E12" s="13">
        <v>3</v>
      </c>
      <c r="F12" s="6" t="s">
        <v>142</v>
      </c>
      <c r="G12" s="6" t="s">
        <v>233</v>
      </c>
      <c r="H12" s="6" t="s">
        <v>340</v>
      </c>
      <c r="I12" s="15" t="s">
        <v>232</v>
      </c>
      <c r="J12" s="14" t="s">
        <v>234</v>
      </c>
      <c r="K12" s="15" t="s">
        <v>235</v>
      </c>
      <c r="L12" s="6" t="s">
        <v>143</v>
      </c>
    </row>
    <row r="13" spans="1:12" s="6" customFormat="1" ht="30" x14ac:dyDescent="0.25">
      <c r="A13" s="13"/>
      <c r="B13" s="6" t="s">
        <v>57</v>
      </c>
      <c r="C13" s="13">
        <v>20</v>
      </c>
      <c r="D13" s="13" t="s">
        <v>360</v>
      </c>
      <c r="E13" s="13">
        <v>1</v>
      </c>
      <c r="F13" s="6" t="s">
        <v>58</v>
      </c>
      <c r="G13" s="6" t="s">
        <v>59</v>
      </c>
      <c r="H13" s="6" t="s">
        <v>343</v>
      </c>
      <c r="I13" s="6" t="s">
        <v>60</v>
      </c>
      <c r="J13" s="14" t="s">
        <v>61</v>
      </c>
      <c r="K13" s="6" t="s">
        <v>62</v>
      </c>
      <c r="L13" s="6" t="s">
        <v>63</v>
      </c>
    </row>
    <row r="14" spans="1:12" s="6" customFormat="1" ht="30" x14ac:dyDescent="0.25">
      <c r="A14" s="13"/>
      <c r="B14" s="6" t="s">
        <v>36</v>
      </c>
      <c r="C14" s="13">
        <v>13</v>
      </c>
      <c r="D14" s="13" t="s">
        <v>358</v>
      </c>
      <c r="E14" s="13">
        <v>15</v>
      </c>
      <c r="F14" s="6" t="s">
        <v>206</v>
      </c>
      <c r="G14" s="6" t="s">
        <v>37</v>
      </c>
      <c r="H14" s="6" t="s">
        <v>338</v>
      </c>
      <c r="I14" s="6" t="s">
        <v>38</v>
      </c>
      <c r="J14" s="14" t="s">
        <v>39</v>
      </c>
      <c r="K14" s="6" t="s">
        <v>40</v>
      </c>
      <c r="L14" s="6" t="s">
        <v>25</v>
      </c>
    </row>
    <row r="15" spans="1:12" s="6" customFormat="1" x14ac:dyDescent="0.25">
      <c r="A15" s="13"/>
      <c r="B15" s="6" t="s">
        <v>64</v>
      </c>
      <c r="C15" s="13">
        <v>21</v>
      </c>
      <c r="D15" s="13" t="s">
        <v>358</v>
      </c>
      <c r="E15" s="13">
        <v>5</v>
      </c>
      <c r="F15" s="6" t="s">
        <v>65</v>
      </c>
      <c r="G15" s="6" t="s">
        <v>59</v>
      </c>
      <c r="H15" s="6" t="s">
        <v>344</v>
      </c>
      <c r="I15" s="15" t="s">
        <v>251</v>
      </c>
      <c r="J15" s="14" t="s">
        <v>252</v>
      </c>
      <c r="K15" s="15" t="s">
        <v>253</v>
      </c>
      <c r="L15" s="6" t="s">
        <v>66</v>
      </c>
    </row>
    <row r="16" spans="1:12" s="6" customFormat="1" x14ac:dyDescent="0.25">
      <c r="A16" s="13"/>
      <c r="B16" s="6" t="s">
        <v>89</v>
      </c>
      <c r="C16" s="13">
        <v>27</v>
      </c>
      <c r="D16" s="13" t="s">
        <v>358</v>
      </c>
      <c r="E16" s="13">
        <v>5</v>
      </c>
      <c r="F16" s="6" t="s">
        <v>90</v>
      </c>
      <c r="G16" s="6" t="s">
        <v>59</v>
      </c>
      <c r="H16" s="6" t="s">
        <v>346</v>
      </c>
      <c r="I16" s="15" t="s">
        <v>256</v>
      </c>
      <c r="J16" s="14" t="s">
        <v>257</v>
      </c>
      <c r="K16" s="6" t="s">
        <v>258</v>
      </c>
      <c r="L16" s="6" t="s">
        <v>91</v>
      </c>
    </row>
    <row r="17" spans="1:12" s="6" customFormat="1" ht="30" x14ac:dyDescent="0.25">
      <c r="A17" s="13"/>
      <c r="B17" s="6" t="s">
        <v>11</v>
      </c>
      <c r="C17" s="13">
        <v>2</v>
      </c>
      <c r="D17" s="13" t="s">
        <v>100</v>
      </c>
      <c r="E17" s="13">
        <v>1</v>
      </c>
      <c r="F17" s="6" t="s">
        <v>12</v>
      </c>
      <c r="G17" s="6" t="s">
        <v>312</v>
      </c>
      <c r="H17" s="6" t="s">
        <v>333</v>
      </c>
      <c r="I17" s="3" t="s">
        <v>215</v>
      </c>
      <c r="J17" s="2" t="s">
        <v>310</v>
      </c>
      <c r="K17" s="3" t="s">
        <v>311</v>
      </c>
      <c r="L17" s="6" t="s">
        <v>313</v>
      </c>
    </row>
    <row r="18" spans="1:12" s="6" customFormat="1" ht="45" x14ac:dyDescent="0.25">
      <c r="A18" s="13"/>
      <c r="B18" s="6" t="s">
        <v>13</v>
      </c>
      <c r="C18" s="13">
        <v>3</v>
      </c>
      <c r="D18" s="13" t="s">
        <v>100</v>
      </c>
      <c r="E18" s="13">
        <v>2</v>
      </c>
      <c r="F18" s="6" t="s">
        <v>322</v>
      </c>
      <c r="G18" s="6" t="s">
        <v>244</v>
      </c>
      <c r="H18" s="6" t="s">
        <v>334</v>
      </c>
      <c r="I18" s="15" t="s">
        <v>245</v>
      </c>
      <c r="J18" s="14" t="s">
        <v>246</v>
      </c>
      <c r="K18" s="15" t="s">
        <v>247</v>
      </c>
      <c r="L18" s="6" t="s">
        <v>14</v>
      </c>
    </row>
    <row r="19" spans="1:12" s="6" customFormat="1" x14ac:dyDescent="0.25">
      <c r="A19" s="13"/>
      <c r="B19" s="6" t="s">
        <v>15</v>
      </c>
      <c r="C19" s="13">
        <v>4</v>
      </c>
      <c r="D19" s="13" t="s">
        <v>100</v>
      </c>
      <c r="E19" s="13">
        <v>1</v>
      </c>
      <c r="F19" s="6" t="s">
        <v>16</v>
      </c>
      <c r="G19" s="6" t="s">
        <v>179</v>
      </c>
      <c r="H19" s="6" t="s">
        <v>335</v>
      </c>
      <c r="I19" s="15" t="s">
        <v>178</v>
      </c>
      <c r="J19" s="14" t="s">
        <v>182</v>
      </c>
      <c r="K19" s="15" t="s">
        <v>183</v>
      </c>
      <c r="L19" s="6" t="s">
        <v>17</v>
      </c>
    </row>
    <row r="20" spans="1:12" s="6" customFormat="1" ht="45" x14ac:dyDescent="0.25">
      <c r="A20" s="13"/>
      <c r="B20" s="6" t="s">
        <v>27</v>
      </c>
      <c r="C20" s="13">
        <v>8</v>
      </c>
      <c r="D20" s="13" t="s">
        <v>100</v>
      </c>
      <c r="E20" s="13">
        <v>1</v>
      </c>
      <c r="F20" s="6" t="s">
        <v>279</v>
      </c>
      <c r="G20" s="6" t="s">
        <v>244</v>
      </c>
      <c r="H20" s="6" t="s">
        <v>334</v>
      </c>
      <c r="I20" s="15" t="s">
        <v>248</v>
      </c>
      <c r="J20" s="14" t="s">
        <v>249</v>
      </c>
      <c r="K20" s="15" t="s">
        <v>250</v>
      </c>
      <c r="L20" s="6" t="s">
        <v>14</v>
      </c>
    </row>
    <row r="21" spans="1:12" s="6" customFormat="1" x14ac:dyDescent="0.25">
      <c r="A21" s="13"/>
      <c r="B21" s="6" t="s">
        <v>28</v>
      </c>
      <c r="C21" s="13">
        <v>9</v>
      </c>
      <c r="D21" s="13" t="s">
        <v>100</v>
      </c>
      <c r="E21" s="13">
        <v>1</v>
      </c>
      <c r="F21" s="6" t="s">
        <v>29</v>
      </c>
      <c r="G21" s="6" t="s">
        <v>18</v>
      </c>
      <c r="H21" s="6" t="s">
        <v>333</v>
      </c>
      <c r="I21" s="15" t="s">
        <v>218</v>
      </c>
      <c r="J21" s="14" t="s">
        <v>220</v>
      </c>
      <c r="K21" s="15" t="s">
        <v>219</v>
      </c>
      <c r="L21" s="6" t="s">
        <v>17</v>
      </c>
    </row>
    <row r="22" spans="1:12" s="6" customFormat="1" x14ac:dyDescent="0.25">
      <c r="A22" s="13"/>
      <c r="B22" s="6" t="s">
        <v>30</v>
      </c>
      <c r="C22" s="13">
        <v>10</v>
      </c>
      <c r="D22" s="13" t="s">
        <v>100</v>
      </c>
      <c r="E22" s="13">
        <v>1</v>
      </c>
      <c r="F22" s="6" t="s">
        <v>31</v>
      </c>
      <c r="G22" s="6" t="s">
        <v>180</v>
      </c>
      <c r="H22" s="6" t="s">
        <v>336</v>
      </c>
      <c r="I22" s="15" t="s">
        <v>221</v>
      </c>
      <c r="J22" s="14" t="s">
        <v>222</v>
      </c>
      <c r="K22" s="15" t="s">
        <v>223</v>
      </c>
      <c r="L22" s="6" t="s">
        <v>32</v>
      </c>
    </row>
    <row r="23" spans="1:12" s="6" customFormat="1" x14ac:dyDescent="0.25">
      <c r="A23" s="13"/>
      <c r="B23" s="6" t="s">
        <v>42</v>
      </c>
      <c r="C23" s="13">
        <v>15</v>
      </c>
      <c r="D23" s="13" t="s">
        <v>100</v>
      </c>
      <c r="E23" s="13">
        <v>1</v>
      </c>
      <c r="F23" s="6" t="s">
        <v>43</v>
      </c>
      <c r="G23" s="6" t="s">
        <v>276</v>
      </c>
      <c r="H23" s="6" t="s">
        <v>339</v>
      </c>
      <c r="I23" s="15" t="s">
        <v>43</v>
      </c>
      <c r="J23" s="14" t="s">
        <v>277</v>
      </c>
      <c r="K23" s="15" t="s">
        <v>278</v>
      </c>
      <c r="L23" s="6" t="s">
        <v>44</v>
      </c>
    </row>
    <row r="24" spans="1:12" s="6" customFormat="1" x14ac:dyDescent="0.25">
      <c r="A24" s="13"/>
      <c r="B24" s="6" t="s">
        <v>51</v>
      </c>
      <c r="C24" s="13">
        <v>19</v>
      </c>
      <c r="D24" s="13" t="s">
        <v>100</v>
      </c>
      <c r="E24" s="13">
        <v>1</v>
      </c>
      <c r="F24" s="6" t="s">
        <v>52</v>
      </c>
      <c r="G24" s="6" t="s">
        <v>53</v>
      </c>
      <c r="H24" s="6" t="s">
        <v>342</v>
      </c>
      <c r="I24" s="19">
        <v>31.8201</v>
      </c>
      <c r="J24" s="14" t="s">
        <v>54</v>
      </c>
      <c r="K24" s="6" t="s">
        <v>55</v>
      </c>
      <c r="L24" s="6" t="s">
        <v>56</v>
      </c>
    </row>
    <row r="25" spans="1:12" s="6" customFormat="1" x14ac:dyDescent="0.25">
      <c r="A25" s="13"/>
      <c r="B25" s="6" t="s">
        <v>70</v>
      </c>
      <c r="C25" s="13">
        <v>23</v>
      </c>
      <c r="D25" s="13" t="s">
        <v>100</v>
      </c>
      <c r="E25" s="13">
        <v>1</v>
      </c>
      <c r="F25" s="6" t="s">
        <v>71</v>
      </c>
      <c r="G25" s="6" t="s">
        <v>72</v>
      </c>
      <c r="H25" s="6" t="s">
        <v>337</v>
      </c>
      <c r="I25" s="6" t="s">
        <v>73</v>
      </c>
      <c r="J25" s="14" t="s">
        <v>74</v>
      </c>
      <c r="K25" s="6" t="s">
        <v>75</v>
      </c>
      <c r="L25" s="6" t="s">
        <v>240</v>
      </c>
    </row>
    <row r="26" spans="1:12" s="6" customFormat="1" x14ac:dyDescent="0.25">
      <c r="A26" s="13"/>
      <c r="B26" s="6" t="s">
        <v>83</v>
      </c>
      <c r="C26" s="13">
        <v>26</v>
      </c>
      <c r="D26" s="13" t="s">
        <v>100</v>
      </c>
      <c r="E26" s="13">
        <v>1</v>
      </c>
      <c r="F26" s="6" t="s">
        <v>84</v>
      </c>
      <c r="G26" s="6" t="s">
        <v>85</v>
      </c>
      <c r="H26" s="6" t="s">
        <v>333</v>
      </c>
      <c r="I26" s="6" t="s">
        <v>84</v>
      </c>
      <c r="J26" s="14" t="s">
        <v>86</v>
      </c>
      <c r="K26" s="6" t="s">
        <v>87</v>
      </c>
      <c r="L26" s="6" t="s">
        <v>88</v>
      </c>
    </row>
    <row r="27" spans="1:12" s="6" customFormat="1" x14ac:dyDescent="0.25">
      <c r="A27" s="13"/>
      <c r="B27" s="6" t="s">
        <v>93</v>
      </c>
      <c r="C27" s="13">
        <v>29</v>
      </c>
      <c r="D27" s="13" t="s">
        <v>100</v>
      </c>
      <c r="E27" s="13">
        <v>1</v>
      </c>
      <c r="F27" s="6" t="s">
        <v>94</v>
      </c>
      <c r="G27" s="6" t="s">
        <v>95</v>
      </c>
      <c r="H27" s="6" t="s">
        <v>345</v>
      </c>
      <c r="I27" s="6" t="s">
        <v>96</v>
      </c>
      <c r="J27" s="14" t="s">
        <v>97</v>
      </c>
      <c r="K27" s="6" t="s">
        <v>98</v>
      </c>
      <c r="L27" s="6" t="s">
        <v>99</v>
      </c>
    </row>
    <row r="28" spans="1:12" s="6" customFormat="1" ht="30.75" thickBot="1" x14ac:dyDescent="0.3">
      <c r="A28" s="13"/>
      <c r="B28" s="6" t="s">
        <v>100</v>
      </c>
      <c r="C28" s="13">
        <v>30</v>
      </c>
      <c r="D28" s="13" t="s">
        <v>100</v>
      </c>
      <c r="E28" s="13">
        <v>1</v>
      </c>
      <c r="F28" s="6" t="s">
        <v>101</v>
      </c>
      <c r="G28" s="6" t="s">
        <v>193</v>
      </c>
      <c r="H28" s="6" t="s">
        <v>348</v>
      </c>
      <c r="I28" s="15" t="s">
        <v>101</v>
      </c>
      <c r="J28" s="14" t="s">
        <v>184</v>
      </c>
      <c r="K28" s="15" t="s">
        <v>194</v>
      </c>
      <c r="L28" s="6" t="s">
        <v>102</v>
      </c>
    </row>
    <row r="29" spans="1:12" s="35" customFormat="1" ht="18.75" x14ac:dyDescent="0.25">
      <c r="A29" s="52">
        <v>10</v>
      </c>
      <c r="B29" s="64" t="s">
        <v>26</v>
      </c>
      <c r="C29" s="34">
        <v>7</v>
      </c>
      <c r="D29" s="34" t="s">
        <v>103</v>
      </c>
      <c r="E29" s="34">
        <v>2</v>
      </c>
      <c r="F29" s="35" t="s">
        <v>203</v>
      </c>
      <c r="G29" s="35" t="s">
        <v>34</v>
      </c>
      <c r="H29" s="35" t="s">
        <v>333</v>
      </c>
      <c r="I29" s="35" t="s">
        <v>364</v>
      </c>
      <c r="J29" s="53" t="s">
        <v>374</v>
      </c>
      <c r="K29" s="36" t="s">
        <v>365</v>
      </c>
      <c r="L29" s="54" t="s">
        <v>366</v>
      </c>
    </row>
    <row r="30" spans="1:12" s="6" customFormat="1" ht="30" x14ac:dyDescent="0.25">
      <c r="A30" s="55">
        <v>10</v>
      </c>
      <c r="B30" s="49" t="s">
        <v>35</v>
      </c>
      <c r="C30" s="13">
        <v>12</v>
      </c>
      <c r="D30" s="13" t="s">
        <v>103</v>
      </c>
      <c r="E30" s="13">
        <v>3</v>
      </c>
      <c r="F30" s="6" t="s">
        <v>205</v>
      </c>
      <c r="G30" s="6" t="s">
        <v>37</v>
      </c>
      <c r="H30" s="6" t="s">
        <v>337</v>
      </c>
      <c r="I30" s="15" t="s">
        <v>226</v>
      </c>
      <c r="J30" s="37" t="s">
        <v>227</v>
      </c>
      <c r="K30" s="15" t="s">
        <v>225</v>
      </c>
      <c r="L30" s="56" t="s">
        <v>22</v>
      </c>
    </row>
    <row r="31" spans="1:12" s="6" customFormat="1" ht="18.75" x14ac:dyDescent="0.25">
      <c r="A31" s="55">
        <v>5</v>
      </c>
      <c r="B31" s="65" t="s">
        <v>76</v>
      </c>
      <c r="C31" s="13">
        <v>24</v>
      </c>
      <c r="D31" s="13" t="s">
        <v>103</v>
      </c>
      <c r="E31" s="13">
        <v>1</v>
      </c>
      <c r="F31" s="6" t="s">
        <v>77</v>
      </c>
      <c r="G31" s="6" t="s">
        <v>72</v>
      </c>
      <c r="H31" s="6" t="s">
        <v>337</v>
      </c>
      <c r="I31" s="15" t="s">
        <v>237</v>
      </c>
      <c r="J31" s="37" t="s">
        <v>238</v>
      </c>
      <c r="K31" s="15" t="s">
        <v>239</v>
      </c>
      <c r="L31" s="56" t="s">
        <v>241</v>
      </c>
    </row>
    <row r="32" spans="1:12" s="6" customFormat="1" ht="18.75" x14ac:dyDescent="0.25">
      <c r="A32" s="55">
        <v>10</v>
      </c>
      <c r="B32" s="50" t="s">
        <v>103</v>
      </c>
      <c r="C32" s="13">
        <v>31</v>
      </c>
      <c r="D32" s="13" t="s">
        <v>103</v>
      </c>
      <c r="E32" s="13">
        <v>1</v>
      </c>
      <c r="F32" s="6" t="s">
        <v>104</v>
      </c>
      <c r="G32" s="6" t="s">
        <v>181</v>
      </c>
      <c r="H32" s="6" t="s">
        <v>349</v>
      </c>
      <c r="I32" s="15" t="s">
        <v>190</v>
      </c>
      <c r="J32" s="37" t="s">
        <v>191</v>
      </c>
      <c r="K32" s="15" t="s">
        <v>192</v>
      </c>
      <c r="L32" s="56" t="s">
        <v>105</v>
      </c>
    </row>
    <row r="33" spans="1:12" s="6" customFormat="1" ht="15.75" thickBot="1" x14ac:dyDescent="0.3">
      <c r="A33" s="55">
        <v>5</v>
      </c>
      <c r="B33" s="47" t="s">
        <v>383</v>
      </c>
      <c r="C33" s="57">
        <v>31.5</v>
      </c>
      <c r="D33" s="57" t="s">
        <v>103</v>
      </c>
      <c r="E33" s="57">
        <v>1</v>
      </c>
      <c r="F33" s="58"/>
      <c r="G33" s="58"/>
      <c r="H33" s="58"/>
      <c r="I33" s="59" t="s">
        <v>384</v>
      </c>
      <c r="J33" s="48"/>
      <c r="K33" s="59" t="s">
        <v>385</v>
      </c>
      <c r="L33" s="60" t="s">
        <v>386</v>
      </c>
    </row>
    <row r="34" spans="1:12" s="6" customFormat="1" ht="30.75" thickBot="1" x14ac:dyDescent="0.3">
      <c r="A34" s="55">
        <v>5</v>
      </c>
      <c r="B34" s="64" t="s">
        <v>131</v>
      </c>
      <c r="C34" s="13">
        <v>37</v>
      </c>
      <c r="D34" s="13" t="s">
        <v>103</v>
      </c>
      <c r="E34" s="13">
        <v>1</v>
      </c>
      <c r="F34" s="6" t="s">
        <v>199</v>
      </c>
      <c r="G34" s="6" t="s">
        <v>127</v>
      </c>
      <c r="H34" s="6" t="s">
        <v>367</v>
      </c>
      <c r="I34" s="15" t="s">
        <v>368</v>
      </c>
      <c r="J34" s="61" t="s">
        <v>373</v>
      </c>
      <c r="K34" s="15" t="s">
        <v>370</v>
      </c>
      <c r="L34" s="56" t="s">
        <v>125</v>
      </c>
    </row>
    <row r="35" spans="1:12" s="6" customFormat="1" ht="30" x14ac:dyDescent="0.25">
      <c r="A35" s="55">
        <v>10</v>
      </c>
      <c r="B35" s="64" t="s">
        <v>136</v>
      </c>
      <c r="C35" s="13">
        <v>40</v>
      </c>
      <c r="D35" s="13" t="s">
        <v>103</v>
      </c>
      <c r="E35" s="13">
        <v>1</v>
      </c>
      <c r="F35" s="6" t="s">
        <v>212</v>
      </c>
      <c r="G35" s="6" t="s">
        <v>127</v>
      </c>
      <c r="H35" s="6" t="s">
        <v>371</v>
      </c>
      <c r="I35" s="15" t="s">
        <v>211</v>
      </c>
      <c r="J35" s="61" t="s">
        <v>372</v>
      </c>
      <c r="K35" s="15" t="s">
        <v>369</v>
      </c>
      <c r="L35" s="56" t="s">
        <v>125</v>
      </c>
    </row>
    <row r="36" spans="1:12" s="39" customFormat="1" ht="19.5" thickBot="1" x14ac:dyDescent="0.3">
      <c r="A36" s="62">
        <v>5</v>
      </c>
      <c r="B36" s="49" t="s">
        <v>217</v>
      </c>
      <c r="C36" s="38">
        <v>5</v>
      </c>
      <c r="D36" s="38" t="s">
        <v>357</v>
      </c>
      <c r="E36" s="38">
        <v>2</v>
      </c>
      <c r="F36" s="39" t="s">
        <v>202</v>
      </c>
      <c r="G36" s="39" t="s">
        <v>18</v>
      </c>
      <c r="H36" s="39" t="s">
        <v>333</v>
      </c>
      <c r="I36" s="39" t="s">
        <v>19</v>
      </c>
      <c r="J36" s="40" t="s">
        <v>20</v>
      </c>
      <c r="K36" s="39" t="s">
        <v>21</v>
      </c>
      <c r="L36" s="63" t="s">
        <v>22</v>
      </c>
    </row>
    <row r="37" spans="1:12" s="6" customFormat="1" ht="19.5" thickBot="1" x14ac:dyDescent="0.3">
      <c r="A37" s="13">
        <v>10</v>
      </c>
      <c r="B37" s="64" t="s">
        <v>23</v>
      </c>
      <c r="C37" s="13">
        <v>6</v>
      </c>
      <c r="D37" s="13" t="s">
        <v>106</v>
      </c>
      <c r="E37" s="13">
        <v>1</v>
      </c>
      <c r="F37" s="6" t="s">
        <v>356</v>
      </c>
      <c r="G37" s="6" t="s">
        <v>18</v>
      </c>
      <c r="H37" s="6" t="s">
        <v>333</v>
      </c>
      <c r="I37" s="3" t="s">
        <v>381</v>
      </c>
      <c r="J37" s="2" t="s">
        <v>382</v>
      </c>
      <c r="K37" s="51" t="s">
        <v>387</v>
      </c>
      <c r="L37" s="6" t="s">
        <v>388</v>
      </c>
    </row>
    <row r="38" spans="1:12" s="6" customFormat="1" ht="19.5" thickBot="1" x14ac:dyDescent="0.3">
      <c r="A38" s="13">
        <v>10</v>
      </c>
      <c r="B38" s="64" t="s">
        <v>33</v>
      </c>
      <c r="C38" s="13">
        <v>11</v>
      </c>
      <c r="D38" s="13" t="s">
        <v>106</v>
      </c>
      <c r="E38" s="13">
        <v>1</v>
      </c>
      <c r="F38" s="6" t="s">
        <v>204</v>
      </c>
      <c r="G38" s="6" t="s">
        <v>34</v>
      </c>
      <c r="H38" s="6" t="s">
        <v>333</v>
      </c>
      <c r="I38" s="3" t="s">
        <v>376</v>
      </c>
      <c r="J38" s="2" t="s">
        <v>377</v>
      </c>
      <c r="K38" s="15" t="s">
        <v>375</v>
      </c>
      <c r="L38" s="6" t="s">
        <v>388</v>
      </c>
    </row>
    <row r="39" spans="1:12" s="6" customFormat="1" ht="18.75" x14ac:dyDescent="0.25">
      <c r="A39" s="13">
        <v>10</v>
      </c>
      <c r="B39" s="64" t="s">
        <v>41</v>
      </c>
      <c r="C39" s="13">
        <v>14</v>
      </c>
      <c r="D39" s="13" t="s">
        <v>106</v>
      </c>
      <c r="E39" s="13">
        <v>1</v>
      </c>
      <c r="F39" s="6" t="s">
        <v>321</v>
      </c>
      <c r="G39" s="6" t="s">
        <v>34</v>
      </c>
      <c r="H39" s="6" t="s">
        <v>333</v>
      </c>
      <c r="I39" s="3" t="s">
        <v>378</v>
      </c>
      <c r="J39" s="2" t="s">
        <v>379</v>
      </c>
      <c r="K39" s="15" t="s">
        <v>380</v>
      </c>
      <c r="L39" s="6" t="s">
        <v>388</v>
      </c>
    </row>
    <row r="40" spans="1:12" s="6" customFormat="1" x14ac:dyDescent="0.25">
      <c r="A40" s="13">
        <v>5</v>
      </c>
      <c r="B40" s="44" t="s">
        <v>45</v>
      </c>
      <c r="C40" s="13">
        <v>16</v>
      </c>
      <c r="D40" s="13" t="s">
        <v>106</v>
      </c>
      <c r="E40" s="13">
        <v>1</v>
      </c>
      <c r="F40" s="6" t="s">
        <v>46</v>
      </c>
      <c r="G40" s="6" t="s">
        <v>287</v>
      </c>
      <c r="H40" s="6" t="s">
        <v>340</v>
      </c>
      <c r="I40" s="15" t="s">
        <v>46</v>
      </c>
      <c r="J40" s="7" t="s">
        <v>319</v>
      </c>
      <c r="K40" s="15" t="s">
        <v>320</v>
      </c>
      <c r="L40" s="6" t="s">
        <v>47</v>
      </c>
    </row>
    <row r="41" spans="1:12" s="6" customFormat="1" ht="36" x14ac:dyDescent="0.25">
      <c r="A41" s="13">
        <v>5</v>
      </c>
      <c r="B41" s="44" t="s">
        <v>78</v>
      </c>
      <c r="C41" s="13">
        <v>25</v>
      </c>
      <c r="D41" s="13" t="s">
        <v>106</v>
      </c>
      <c r="E41" s="13">
        <v>1</v>
      </c>
      <c r="F41" s="6" t="s">
        <v>79</v>
      </c>
      <c r="G41" s="6" t="s">
        <v>80</v>
      </c>
      <c r="H41" s="6" t="s">
        <v>345</v>
      </c>
      <c r="I41" s="6" t="s">
        <v>79</v>
      </c>
      <c r="J41" s="14" t="s">
        <v>81</v>
      </c>
      <c r="K41" s="15" t="s">
        <v>389</v>
      </c>
      <c r="L41" s="6" t="s">
        <v>82</v>
      </c>
    </row>
    <row r="42" spans="1:12" s="6" customFormat="1" ht="18.75" x14ac:dyDescent="0.25">
      <c r="A42" s="13">
        <v>5</v>
      </c>
      <c r="B42" s="49" t="s">
        <v>106</v>
      </c>
      <c r="C42" s="13">
        <v>32</v>
      </c>
      <c r="D42" s="13" t="s">
        <v>106</v>
      </c>
      <c r="E42" s="13">
        <v>1</v>
      </c>
      <c r="F42" s="6" t="s">
        <v>107</v>
      </c>
      <c r="G42" s="6" t="s">
        <v>108</v>
      </c>
      <c r="H42" s="6" t="s">
        <v>349</v>
      </c>
      <c r="I42" s="6" t="s">
        <v>107</v>
      </c>
      <c r="J42" s="14" t="s">
        <v>109</v>
      </c>
      <c r="K42" s="15" t="s">
        <v>110</v>
      </c>
      <c r="L42" s="6" t="s">
        <v>111</v>
      </c>
    </row>
    <row r="43" spans="1:12" s="6" customFormat="1" ht="30" x14ac:dyDescent="0.25">
      <c r="A43" s="13">
        <v>5</v>
      </c>
      <c r="B43" s="46" t="s">
        <v>132</v>
      </c>
      <c r="C43" s="13">
        <v>38</v>
      </c>
      <c r="D43" s="13" t="s">
        <v>106</v>
      </c>
      <c r="E43" s="13">
        <v>1</v>
      </c>
      <c r="F43" s="6" t="s">
        <v>199</v>
      </c>
      <c r="G43" s="6" t="s">
        <v>127</v>
      </c>
      <c r="H43" s="6" t="s">
        <v>367</v>
      </c>
      <c r="I43" s="15" t="s">
        <v>368</v>
      </c>
      <c r="J43" s="37" t="s">
        <v>275</v>
      </c>
      <c r="K43" s="15" t="s">
        <v>110</v>
      </c>
      <c r="L43" s="6" t="s">
        <v>133</v>
      </c>
    </row>
    <row r="44" spans="1:12" s="6" customFormat="1" ht="30" x14ac:dyDescent="0.25">
      <c r="A44" s="13">
        <v>10</v>
      </c>
      <c r="B44" s="46" t="s">
        <v>134</v>
      </c>
      <c r="C44" s="13">
        <v>39</v>
      </c>
      <c r="D44" s="13" t="s">
        <v>106</v>
      </c>
      <c r="E44" s="13">
        <v>1</v>
      </c>
      <c r="F44" s="6" t="s">
        <v>200</v>
      </c>
      <c r="G44" s="6" t="s">
        <v>119</v>
      </c>
      <c r="H44" s="6" t="s">
        <v>338</v>
      </c>
      <c r="I44" s="12" t="s">
        <v>290</v>
      </c>
      <c r="J44" s="14" t="s">
        <v>353</v>
      </c>
      <c r="K44" s="15"/>
      <c r="L44" s="6" t="s">
        <v>135</v>
      </c>
    </row>
    <row r="45" spans="1:12" s="5" customFormat="1" x14ac:dyDescent="0.25">
      <c r="A45" s="16"/>
      <c r="C45" s="16"/>
      <c r="D45" s="16"/>
      <c r="E45" s="16">
        <f>SUM(E2:E44)</f>
        <v>95</v>
      </c>
    </row>
    <row r="46" spans="1:12" s="5" customFormat="1" x14ac:dyDescent="0.25">
      <c r="A46" s="16"/>
      <c r="C46" s="16"/>
      <c r="D46" s="16"/>
      <c r="E46" s="16"/>
    </row>
    <row r="47" spans="1:12" s="5" customFormat="1" x14ac:dyDescent="0.25">
      <c r="A47" s="16"/>
      <c r="C47" s="16"/>
      <c r="D47" s="16"/>
      <c r="E47" s="16"/>
    </row>
    <row r="48" spans="1:12" s="5" customFormat="1" x14ac:dyDescent="0.25">
      <c r="A48" s="16"/>
      <c r="C48" s="16"/>
      <c r="D48" s="16"/>
      <c r="E48" s="16"/>
    </row>
    <row r="49" spans="1:12" s="5" customFormat="1" ht="21" x14ac:dyDescent="0.35">
      <c r="A49" s="16"/>
      <c r="B49" s="4" t="s">
        <v>302</v>
      </c>
      <c r="C49" s="33"/>
      <c r="D49" s="33"/>
      <c r="E49" s="16"/>
    </row>
    <row r="50" spans="1:12" s="6" customFormat="1" ht="60" x14ac:dyDescent="0.25">
      <c r="A50" s="13"/>
      <c r="B50" s="6" t="s">
        <v>48</v>
      </c>
      <c r="C50" s="13"/>
      <c r="D50" s="13"/>
      <c r="E50" s="13">
        <v>1</v>
      </c>
      <c r="F50" s="6" t="s">
        <v>49</v>
      </c>
      <c r="G50" s="6" t="s">
        <v>59</v>
      </c>
      <c r="I50" s="15" t="s">
        <v>307</v>
      </c>
      <c r="J50" s="14" t="s">
        <v>308</v>
      </c>
      <c r="K50" s="6" t="s">
        <v>317</v>
      </c>
      <c r="L50" s="6" t="s">
        <v>50</v>
      </c>
    </row>
    <row r="51" spans="1:12" s="5" customFormat="1" x14ac:dyDescent="0.25">
      <c r="A51" s="16"/>
      <c r="B51" s="5" t="s">
        <v>299</v>
      </c>
      <c r="C51" s="16"/>
      <c r="D51" s="16"/>
      <c r="E51" s="16">
        <v>1</v>
      </c>
      <c r="F51" s="8" t="s">
        <v>300</v>
      </c>
      <c r="G51" s="5" t="s">
        <v>59</v>
      </c>
      <c r="I51" s="8" t="s">
        <v>300</v>
      </c>
      <c r="J51" s="11" t="s">
        <v>301</v>
      </c>
      <c r="K51" s="8" t="s">
        <v>303</v>
      </c>
    </row>
    <row r="52" spans="1:12" s="5" customFormat="1" x14ac:dyDescent="0.25">
      <c r="A52" s="16"/>
      <c r="C52" s="16"/>
      <c r="D52" s="16"/>
      <c r="E52" s="16"/>
      <c r="F52" s="5" t="s">
        <v>266</v>
      </c>
      <c r="G52" s="5" t="s">
        <v>59</v>
      </c>
      <c r="I52" s="17" t="s">
        <v>267</v>
      </c>
      <c r="J52" s="18" t="s">
        <v>268</v>
      </c>
      <c r="K52" s="17" t="s">
        <v>269</v>
      </c>
      <c r="L52" s="5" t="s">
        <v>270</v>
      </c>
    </row>
    <row r="53" spans="1:12" s="5" customFormat="1" x14ac:dyDescent="0.25">
      <c r="A53" s="16"/>
      <c r="C53" s="16"/>
      <c r="D53" s="16"/>
      <c r="E53" s="16"/>
      <c r="F53" s="5" t="s">
        <v>144</v>
      </c>
      <c r="G53" s="5" t="s">
        <v>59</v>
      </c>
      <c r="I53" s="5" t="s">
        <v>145</v>
      </c>
      <c r="J53" s="18" t="s">
        <v>146</v>
      </c>
      <c r="K53" s="5" t="s">
        <v>147</v>
      </c>
      <c r="L53" s="5" t="s">
        <v>59</v>
      </c>
    </row>
    <row r="54" spans="1:12" s="5" customFormat="1" x14ac:dyDescent="0.25">
      <c r="A54" s="16"/>
      <c r="C54" s="16"/>
      <c r="D54" s="16"/>
      <c r="E54" s="16"/>
      <c r="F54" s="5" t="s">
        <v>148</v>
      </c>
      <c r="G54" s="5" t="s">
        <v>59</v>
      </c>
      <c r="I54" s="5" t="s">
        <v>149</v>
      </c>
      <c r="J54" s="18" t="s">
        <v>150</v>
      </c>
      <c r="K54" s="5" t="s">
        <v>151</v>
      </c>
      <c r="L54" s="5" t="s">
        <v>59</v>
      </c>
    </row>
    <row r="55" spans="1:12" s="5" customFormat="1" x14ac:dyDescent="0.25">
      <c r="A55" s="16"/>
      <c r="C55" s="16"/>
      <c r="D55" s="16"/>
      <c r="E55" s="16"/>
      <c r="F55" s="5" t="s">
        <v>152</v>
      </c>
      <c r="G55" s="5" t="s">
        <v>59</v>
      </c>
      <c r="I55" s="5" t="s">
        <v>153</v>
      </c>
      <c r="J55" s="18" t="s">
        <v>154</v>
      </c>
      <c r="K55" s="5" t="s">
        <v>155</v>
      </c>
      <c r="L55" s="5" t="s">
        <v>59</v>
      </c>
    </row>
    <row r="56" spans="1:12" s="5" customFormat="1" x14ac:dyDescent="0.25">
      <c r="A56" s="16"/>
      <c r="C56" s="16"/>
      <c r="D56" s="16"/>
      <c r="E56" s="16"/>
      <c r="F56" s="5" t="s">
        <v>156</v>
      </c>
      <c r="G56" s="5" t="s">
        <v>59</v>
      </c>
      <c r="I56" s="5" t="s">
        <v>157</v>
      </c>
      <c r="J56" s="18" t="s">
        <v>158</v>
      </c>
      <c r="K56" s="5" t="s">
        <v>159</v>
      </c>
      <c r="L56" s="5" t="s">
        <v>59</v>
      </c>
    </row>
    <row r="57" spans="1:12" s="5" customFormat="1" x14ac:dyDescent="0.25">
      <c r="A57" s="16"/>
      <c r="C57" s="16"/>
      <c r="D57" s="16"/>
      <c r="E57" s="16"/>
      <c r="F57" s="5" t="s">
        <v>160</v>
      </c>
      <c r="G57" s="5" t="s">
        <v>59</v>
      </c>
      <c r="I57" s="5" t="s">
        <v>161</v>
      </c>
      <c r="J57" s="18" t="s">
        <v>162</v>
      </c>
      <c r="K57" s="5" t="s">
        <v>163</v>
      </c>
      <c r="L57" s="5" t="s">
        <v>59</v>
      </c>
    </row>
    <row r="58" spans="1:12" s="5" customFormat="1" x14ac:dyDescent="0.25">
      <c r="A58" s="16"/>
      <c r="C58" s="16"/>
      <c r="D58" s="16"/>
      <c r="E58" s="16"/>
      <c r="F58" s="5" t="s">
        <v>167</v>
      </c>
      <c r="G58" s="5" t="s">
        <v>168</v>
      </c>
      <c r="I58" s="5" t="s">
        <v>169</v>
      </c>
      <c r="J58" s="18" t="s">
        <v>170</v>
      </c>
      <c r="K58" s="5" t="s">
        <v>171</v>
      </c>
      <c r="L58" s="5" t="s">
        <v>59</v>
      </c>
    </row>
    <row r="62" spans="1:12" ht="21" x14ac:dyDescent="0.35">
      <c r="B62" s="4" t="s">
        <v>283</v>
      </c>
      <c r="C62" s="33"/>
      <c r="D62" s="33"/>
    </row>
    <row r="63" spans="1:12" x14ac:dyDescent="0.25">
      <c r="B63" s="27"/>
      <c r="C63" s="26"/>
      <c r="D63" s="26"/>
      <c r="E63" s="26">
        <v>5</v>
      </c>
      <c r="F63" s="27"/>
      <c r="G63" s="30"/>
      <c r="H63" s="30"/>
      <c r="I63" s="27" t="s">
        <v>172</v>
      </c>
      <c r="J63" s="27"/>
      <c r="K63" s="27" t="s">
        <v>173</v>
      </c>
    </row>
    <row r="64" spans="1:12" x14ac:dyDescent="0.25">
      <c r="B64" s="27"/>
      <c r="C64" s="26"/>
      <c r="D64" s="26"/>
      <c r="E64" s="26">
        <v>5</v>
      </c>
      <c r="F64" s="27"/>
      <c r="G64" s="30"/>
      <c r="H64" s="30"/>
      <c r="I64" s="27" t="s">
        <v>174</v>
      </c>
      <c r="J64" s="27"/>
      <c r="K64" s="27" t="s">
        <v>175</v>
      </c>
    </row>
    <row r="65" spans="2:11" x14ac:dyDescent="0.25">
      <c r="B65" s="25"/>
      <c r="C65" s="24"/>
      <c r="D65" s="24"/>
      <c r="E65" s="24">
        <v>5</v>
      </c>
      <c r="F65" s="25"/>
      <c r="G65" s="31"/>
      <c r="H65" s="31"/>
      <c r="I65" s="25" t="s">
        <v>176</v>
      </c>
      <c r="J65" s="25"/>
      <c r="K65" s="25" t="s">
        <v>177</v>
      </c>
    </row>
    <row r="66" spans="2:11" x14ac:dyDescent="0.25">
      <c r="B66" s="21"/>
      <c r="C66" s="20"/>
      <c r="D66" s="20"/>
      <c r="E66" s="20">
        <v>30</v>
      </c>
      <c r="F66" s="21"/>
      <c r="G66" s="32"/>
      <c r="H66" s="32"/>
      <c r="I66" s="22" t="s">
        <v>207</v>
      </c>
      <c r="J66" s="21"/>
      <c r="K66" s="22" t="s">
        <v>208</v>
      </c>
    </row>
    <row r="67" spans="2:11" x14ac:dyDescent="0.25">
      <c r="B67" s="21"/>
      <c r="C67" s="20"/>
      <c r="D67" s="20"/>
      <c r="E67" s="20">
        <v>15</v>
      </c>
      <c r="F67" s="21"/>
      <c r="G67" s="32"/>
      <c r="H67" s="32"/>
      <c r="I67" s="22" t="s">
        <v>209</v>
      </c>
      <c r="J67" s="21"/>
      <c r="K67" s="22" t="s">
        <v>210</v>
      </c>
    </row>
    <row r="68" spans="2:11" x14ac:dyDescent="0.25">
      <c r="B68" s="27" t="s">
        <v>216</v>
      </c>
      <c r="C68" s="26"/>
      <c r="D68" s="26"/>
      <c r="E68" s="26">
        <v>5</v>
      </c>
      <c r="F68" s="27"/>
      <c r="G68" s="30"/>
      <c r="H68" s="30"/>
      <c r="I68" s="28" t="s">
        <v>84</v>
      </c>
      <c r="J68" s="27"/>
      <c r="K68" s="28" t="s">
        <v>87</v>
      </c>
    </row>
    <row r="69" spans="2:11" x14ac:dyDescent="0.25">
      <c r="B69" s="21" t="s">
        <v>216</v>
      </c>
      <c r="C69" s="20"/>
      <c r="D69" s="20"/>
      <c r="E69" s="20">
        <v>25</v>
      </c>
      <c r="F69" s="21"/>
      <c r="G69" s="32"/>
      <c r="H69" s="32"/>
      <c r="I69" s="22" t="s">
        <v>213</v>
      </c>
      <c r="J69" s="21" t="s">
        <v>224</v>
      </c>
      <c r="K69" s="22" t="s">
        <v>214</v>
      </c>
    </row>
    <row r="70" spans="2:11" x14ac:dyDescent="0.25">
      <c r="B70" s="21" t="s">
        <v>231</v>
      </c>
      <c r="C70" s="20"/>
      <c r="D70" s="20"/>
      <c r="E70" s="20">
        <v>15</v>
      </c>
      <c r="F70" s="21"/>
      <c r="G70" s="32"/>
      <c r="H70" s="32"/>
      <c r="I70" s="22" t="s">
        <v>228</v>
      </c>
      <c r="J70" s="21" t="s">
        <v>229</v>
      </c>
      <c r="K70" s="22" t="s">
        <v>230</v>
      </c>
    </row>
    <row r="71" spans="2:11" x14ac:dyDescent="0.25">
      <c r="B71" s="21" t="s">
        <v>243</v>
      </c>
      <c r="C71" s="20"/>
      <c r="D71" s="20"/>
      <c r="E71" s="20">
        <v>5</v>
      </c>
      <c r="F71" s="21"/>
      <c r="G71" s="32"/>
      <c r="H71" s="32"/>
      <c r="I71" s="23">
        <v>744311330</v>
      </c>
      <c r="J71" s="21" t="s">
        <v>242</v>
      </c>
      <c r="K71" s="22" t="s">
        <v>236</v>
      </c>
    </row>
    <row r="72" spans="2:11" x14ac:dyDescent="0.25">
      <c r="B72" s="21" t="s">
        <v>265</v>
      </c>
      <c r="C72" s="20"/>
      <c r="D72" s="20"/>
      <c r="E72" s="20">
        <v>5</v>
      </c>
      <c r="F72" s="21"/>
      <c r="G72" s="32"/>
      <c r="H72" s="32"/>
      <c r="I72" s="22" t="s">
        <v>96</v>
      </c>
      <c r="J72" s="21" t="s">
        <v>265</v>
      </c>
      <c r="K72" s="22" t="s">
        <v>98</v>
      </c>
    </row>
    <row r="73" spans="2:11" x14ac:dyDescent="0.25">
      <c r="B73" s="21" t="s">
        <v>274</v>
      </c>
      <c r="C73" s="20"/>
      <c r="D73" s="20"/>
      <c r="E73" s="20">
        <v>5</v>
      </c>
      <c r="F73" s="21"/>
      <c r="G73" s="32"/>
      <c r="H73" s="32"/>
      <c r="I73" s="22" t="s">
        <v>271</v>
      </c>
      <c r="J73" s="21" t="s">
        <v>272</v>
      </c>
      <c r="K73" s="22" t="s">
        <v>273</v>
      </c>
    </row>
    <row r="74" spans="2:11" x14ac:dyDescent="0.25">
      <c r="B74" s="21"/>
      <c r="C74" s="20"/>
      <c r="D74" s="20"/>
      <c r="E74" s="20">
        <v>5</v>
      </c>
      <c r="F74" s="21"/>
      <c r="G74" s="32"/>
      <c r="H74" s="32"/>
      <c r="I74" s="22" t="s">
        <v>280</v>
      </c>
      <c r="J74" s="21" t="s">
        <v>281</v>
      </c>
      <c r="K74" s="22" t="s">
        <v>282</v>
      </c>
    </row>
    <row r="75" spans="2:11" x14ac:dyDescent="0.25">
      <c r="I75" s="3"/>
      <c r="K75" s="3"/>
    </row>
    <row r="76" spans="2:11" x14ac:dyDescent="0.25">
      <c r="I76" s="3"/>
      <c r="K76" s="3"/>
    </row>
    <row r="77" spans="2:11" ht="21" x14ac:dyDescent="0.35">
      <c r="B77" s="4" t="s">
        <v>284</v>
      </c>
      <c r="C77" s="33"/>
      <c r="D77" s="33"/>
      <c r="I77" s="8"/>
      <c r="K77" s="3"/>
    </row>
    <row r="78" spans="2:11" x14ac:dyDescent="0.25">
      <c r="E78" s="1">
        <v>5</v>
      </c>
      <c r="I78" s="8" t="s">
        <v>285</v>
      </c>
      <c r="J78" t="s">
        <v>274</v>
      </c>
      <c r="K78" s="8" t="s">
        <v>286</v>
      </c>
    </row>
    <row r="79" spans="2:11" x14ac:dyDescent="0.25">
      <c r="E79" s="1">
        <v>5</v>
      </c>
      <c r="I79" s="8" t="s">
        <v>288</v>
      </c>
      <c r="J79" t="s">
        <v>274</v>
      </c>
      <c r="K79" s="8" t="s">
        <v>289</v>
      </c>
    </row>
    <row r="80" spans="2:11" x14ac:dyDescent="0.25">
      <c r="E80" s="1">
        <v>5</v>
      </c>
      <c r="I80" s="8" t="s">
        <v>291</v>
      </c>
      <c r="J80" t="s">
        <v>274</v>
      </c>
      <c r="K80" s="8" t="s">
        <v>292</v>
      </c>
    </row>
    <row r="81" spans="2:11" x14ac:dyDescent="0.25">
      <c r="E81" s="1">
        <v>5</v>
      </c>
      <c r="I81" s="8" t="s">
        <v>293</v>
      </c>
      <c r="J81" t="s">
        <v>274</v>
      </c>
      <c r="K81" s="8" t="s">
        <v>294</v>
      </c>
    </row>
    <row r="82" spans="2:11" x14ac:dyDescent="0.25">
      <c r="E82" s="1">
        <v>5</v>
      </c>
      <c r="I82" s="8" t="s">
        <v>24</v>
      </c>
      <c r="J82" t="s">
        <v>296</v>
      </c>
      <c r="K82" s="8" t="s">
        <v>295</v>
      </c>
    </row>
    <row r="83" spans="2:11" x14ac:dyDescent="0.25">
      <c r="E83" s="1">
        <v>5</v>
      </c>
      <c r="I83" s="8" t="s">
        <v>297</v>
      </c>
      <c r="J83" t="s">
        <v>274</v>
      </c>
      <c r="K83" s="8" t="s">
        <v>298</v>
      </c>
    </row>
    <row r="84" spans="2:11" x14ac:dyDescent="0.25">
      <c r="E84" s="1">
        <v>5</v>
      </c>
      <c r="I84" s="8" t="s">
        <v>304</v>
      </c>
      <c r="J84" t="s">
        <v>305</v>
      </c>
      <c r="K84" s="8" t="s">
        <v>306</v>
      </c>
    </row>
    <row r="85" spans="2:11" x14ac:dyDescent="0.25">
      <c r="I85" s="3"/>
      <c r="K85" s="3"/>
    </row>
    <row r="86" spans="2:11" x14ac:dyDescent="0.25">
      <c r="I86" s="3"/>
      <c r="K86" s="3"/>
    </row>
    <row r="87" spans="2:11" x14ac:dyDescent="0.25">
      <c r="I87" s="3"/>
      <c r="K87" s="3"/>
    </row>
    <row r="88" spans="2:11" x14ac:dyDescent="0.25">
      <c r="I88" s="3"/>
      <c r="K88" s="3"/>
    </row>
    <row r="89" spans="2:11" ht="21" x14ac:dyDescent="0.35">
      <c r="B89" s="4" t="s">
        <v>259</v>
      </c>
      <c r="C89" s="33"/>
      <c r="D89" s="33"/>
      <c r="I89" s="3"/>
      <c r="K89" s="3"/>
    </row>
    <row r="90" spans="2:11" x14ac:dyDescent="0.25">
      <c r="B90" t="s">
        <v>260</v>
      </c>
      <c r="I90" s="3"/>
      <c r="K90" s="3"/>
    </row>
    <row r="91" spans="2:11" x14ac:dyDescent="0.25">
      <c r="B91" t="s">
        <v>261</v>
      </c>
      <c r="I91" s="3"/>
      <c r="K91" s="3"/>
    </row>
    <row r="92" spans="2:11" x14ac:dyDescent="0.25">
      <c r="I92" s="3"/>
      <c r="K92" s="3"/>
    </row>
    <row r="93" spans="2:11" x14ac:dyDescent="0.25">
      <c r="I93" s="3"/>
      <c r="K93" s="3"/>
    </row>
    <row r="94" spans="2:11" x14ac:dyDescent="0.25">
      <c r="I94" s="3"/>
      <c r="K94" s="3"/>
    </row>
    <row r="95" spans="2:11" x14ac:dyDescent="0.25">
      <c r="I95" s="3"/>
      <c r="K95" s="3"/>
    </row>
    <row r="96" spans="2:11" ht="21" x14ac:dyDescent="0.35">
      <c r="B96" s="4" t="s">
        <v>187</v>
      </c>
      <c r="C96" s="33"/>
      <c r="D96" s="33"/>
    </row>
    <row r="97" spans="2:11" x14ac:dyDescent="0.25">
      <c r="B97" t="s">
        <v>185</v>
      </c>
      <c r="E97" s="1">
        <v>1</v>
      </c>
      <c r="I97" s="3" t="s">
        <v>186</v>
      </c>
      <c r="J97" s="2" t="s">
        <v>188</v>
      </c>
      <c r="K97" s="3" t="s">
        <v>189</v>
      </c>
    </row>
  </sheetData>
  <sortState xmlns:xlrd2="http://schemas.microsoft.com/office/spreadsheetml/2017/richdata2" ref="B2:L44">
    <sortCondition ref="D2:D44"/>
    <sortCondition ref="C2:C44"/>
  </sortState>
  <hyperlinks>
    <hyperlink ref="J27" r:id="rId1" display="https://www.digikey.com/en/products/detail/bourns-inc/MOV-14D561K/2798251" xr:uid="{E54AB653-A388-456A-8073-86B55B47839C}"/>
    <hyperlink ref="J24" r:id="rId2" display="https://www.digikey.com/en/products/detail/schurter-inc/0031-8201/669925" xr:uid="{8936EB62-255B-43BC-A653-956176BFB1DB}"/>
    <hyperlink ref="J26" r:id="rId3" display="https://www.digikey.com/en/products/detail/kemet/SSRH7H-M05408/8509242" xr:uid="{649B905D-0A7E-4930-B0DB-21DB94CEB9E2}"/>
    <hyperlink ref="J58" r:id="rId4" display="https://www.digikey.com/en/products/detail/conquer/VBS-UBM-2A-250V-PF/16928248" xr:uid="{D31D6AA7-1A03-431F-B77C-A81FF65B93D4}"/>
    <hyperlink ref="J11" r:id="rId5" display="https://www.digikey.com/en/products/detail/yageo/RT1206BRD07400RL/5936956" xr:uid="{1487316C-8B06-4551-A9E2-E945715BE033}"/>
    <hyperlink ref="J5" r:id="rId6" display="https://www.digikey.com/en/products/detail/yageo/RC0805FR-0710KL/727535" xr:uid="{FF836BFE-F0D7-42AF-9767-1BDB057A27F4}"/>
    <hyperlink ref="J14" r:id="rId7" display="https://www.digikey.com/en/products/detail/yageo/CC0805KRX7R7BB104/302876" xr:uid="{CE2B2FAD-3299-4004-93EB-24BB0FD3B14E}"/>
    <hyperlink ref="J42" r:id="rId8" display="https://www.digikey.com/en/products/detail/texas-instruments/TPS61165DBVR/2340764" xr:uid="{CD325A3B-7DB4-4B03-91AF-05BA941563F9}"/>
    <hyperlink ref="J36" r:id="rId9" display="https://www.digikey.com/en/products/detail/kemet/C1206C106K3RACTU/3317648" xr:uid="{642BCDC4-C5C6-4823-AA7B-FFE96C4801D0}"/>
    <hyperlink ref="J41" r:id="rId10" display="https://www.digikey.com/en/products/detail/bourns-inc/SRR4028-100Y/1970246" xr:uid="{5C4707DC-7E64-429F-A04C-181D14BA987F}"/>
    <hyperlink ref="J13" r:id="rId11" display="https://www.digikey.com/en/products/detail/hirose-electric-co-ltd/FH26W-39S-0-3SHW-60/5132503" xr:uid="{1D6BFDC4-5137-463A-8F1D-BA3862274F05}"/>
    <hyperlink ref="J53" r:id="rId12" display="https://www.digikey.com/en/products/detail/hirose-electric-co-ltd/H4BXG-10106-L8/426130" xr:uid="{250C8D58-F092-4D16-94FA-43D104823582}"/>
    <hyperlink ref="J54" r:id="rId13" display="https://www.digikey.com/en/products/detail/hirose-electric-co-ltd/H4BXG-10106-A8/426107" xr:uid="{8264E7AD-A97C-4723-BE5B-42442DB137DF}"/>
    <hyperlink ref="J55" r:id="rId14" display="https://www.digikey.com/en/products/detail/hirose-electric-co-ltd/H4BXG-10106-Y8/426178" xr:uid="{5C599B86-7E0F-4286-84D4-47C7967F0A3D}"/>
    <hyperlink ref="J56" r:id="rId15" display="https://www.digikey.com/en/products/detail/hirose-electric-co-ltd/H4BXG-10106-B8/426114" xr:uid="{869C2F19-0DEA-4272-8980-A720DD1577B8}"/>
    <hyperlink ref="J57" r:id="rId16" display="https://www.digikey.com/en/products/detail/hirose-electric-co-ltd/DF13-4S-1-25C/241750" xr:uid="{45EB352A-4EAE-446E-A9A6-5552126852F3}"/>
    <hyperlink ref="J6" r:id="rId17" display="https://www.digikey.com/en/products/detail/tdk/B32921C3103M026/21191954" xr:uid="{1EA27707-0F95-4FED-A1A9-ECC9DDBA149C}"/>
    <hyperlink ref="J8" r:id="rId18" display="https://www.digikey.com/en/products/detail/vishay-dale/CRCW251239R0FKEG/1199024" xr:uid="{6BFA3095-BC3A-419B-8D35-F5B143876D66}"/>
    <hyperlink ref="J9" r:id="rId19" display="https://www.digikey.com/en/products/detail/vishay-dale/CRCW1206360RFKEA/1176592" xr:uid="{A33FF849-A689-4AB6-A460-CFCCABD76C4C}"/>
    <hyperlink ref="J25" r:id="rId20" display="https://www.digikey.com/en/products/detail/murata-electronics/LQH3NPH2R2MMEL/12476579" xr:uid="{3A849F69-C71E-469F-ABA9-E5BDF64A7C10}"/>
    <hyperlink ref="J19" r:id="rId21" display="https://www.digikey.com/en/products/detail/rubycon/450BXG15MEFC10X20/23330777" xr:uid="{F9AF9319-78DB-47A0-AE5B-DEAAE6D41559}"/>
    <hyperlink ref="J28" r:id="rId22" display="https://www.digikey.com/en/products/detail/bel-power-solutions/PBO-5F-12/28717413" xr:uid="{2DAFEF39-1CD3-4E79-81AC-1AB9574C300E}"/>
    <hyperlink ref="J97" r:id="rId23" display="https://www.digikey.com/en/products/detail/espressif-systems/ESP32-WROOM-32E-N4/11613125" xr:uid="{E574309A-B70A-4955-A12A-E4BDCDAAC29D}"/>
    <hyperlink ref="J32" r:id="rId24" display="https://www.digikey.com/en/products/detail/texas-instruments/TPS562201DDCR/5808210" xr:uid="{B184572B-0236-401B-8B00-298B3DCCBAB3}"/>
    <hyperlink ref="J21" r:id="rId25" display="https://www.digikey.com/en/products/detail/kemet/A750MS477M1EAAE015/6196448" xr:uid="{0AEC8B06-DA88-4466-9773-B2690A74C20B}"/>
    <hyperlink ref="J22" r:id="rId26" display="https://www.digikey.com/en/products/detail/kyocera-avx/RPF0811221M035K/20096675" xr:uid="{7A0FB1AA-FDBD-4F96-B354-9FD99398AA8D}"/>
    <hyperlink ref="J30" r:id="rId27" display="https://www.digikey.com/en/products/detail/murata-electronics/GRM31CZ71C226ME15L/13904808" xr:uid="{F28BF3AC-E8A2-4F5F-97F4-9906BA0B320A}"/>
    <hyperlink ref="J12" r:id="rId28" display="https://www.digikey.com/en/products/detail/stmicroelectronics/BTA12-600BWRG/654429" xr:uid="{F3E345A2-674D-43FD-82B5-C771FF11233D}"/>
    <hyperlink ref="J31" r:id="rId29" display="https://www.digikey.com/en/products/detail/murata-electronics/LQH43PN3R3M26L/4359202" xr:uid="{8BB11E1B-6863-49A8-BA4A-F77F130E6645}"/>
    <hyperlink ref="J18" r:id="rId30" display="https://www.digikey.com/en/products/detail/vishay-beyschlag-draloric-bc-components/VY2471K29Y5SS63V7/1983391" xr:uid="{E3AB860C-3C28-4376-A22F-2C5584841EC9}"/>
    <hyperlink ref="J20" r:id="rId31" display="https://www.digikey.com/en/products/detail/vishay-beyschlag-draloric-bc-components/VY2102M29Y5US63V7/1983393" xr:uid="{DFB70E7A-DB2A-4A80-A790-FD148DE812F9}"/>
    <hyperlink ref="J15" r:id="rId32" display="https://www.digikey.com/en/products/detail/same-sky-formerly-cui-devices/SJ1-3523NG/738692" xr:uid="{8E037D6F-C5E1-4460-AAAA-834B3AEC7E3F}"/>
    <hyperlink ref="J16" r:id="rId33" display="https://www.digikey.com/en/products/detail/analog-devices-inc-maxim-integrated/MAX31865ATP/3681476" xr:uid="{1FAEEAD4-BA59-40CE-8E67-90D1AEEEB157}"/>
    <hyperlink ref="J7" r:id="rId34" display="https://www.digikey.com/en/products/detail/onsemi/MOC3063M/281237" xr:uid="{BEB98CB0-CDE0-47E0-9AE2-04B7BC9C0603}"/>
    <hyperlink ref="J52" r:id="rId35" display="https://www.digikey.com/en/products/detail/bourns-inc/PEC16-4215F-S0024/3534280" xr:uid="{814595A2-15F1-4747-8CC2-3C72D3C812D0}"/>
    <hyperlink ref="J23" r:id="rId36" display="https://www.digikey.com/en/products/detail/littelfuse-inc/SMBJ20A/285988" xr:uid="{CDE6EC65-28E7-4F39-9BE5-91E2CA79AE53}"/>
    <hyperlink ref="J2" r:id="rId37" display="https://www.digikey.com/en/products/detail/hirose-electric-co-ltd/DF13A-4P-1-25H-51/4282225" xr:uid="{EB4FF33B-53C3-4A25-9C30-2ACC218969DD}"/>
    <hyperlink ref="J50" r:id="rId38" xr:uid="{0C0A9C03-0B83-4CED-BC9B-13F54359F8DF}"/>
    <hyperlink ref="J17" r:id="rId39" display="https://www.digikey.com/en/products/detail/kemet/R46KF310000M1M/5177298" xr:uid="{8F22117A-94B0-45D3-AC99-45E3971405F7}"/>
    <hyperlink ref="J10" r:id="rId40" display="https://www.digikey.com/en/products/detail/panasonic-industry/ERJ-U06F3300V/11630222" xr:uid="{82F361E7-EC15-4D96-A900-7A242E00CD5A}"/>
    <hyperlink ref="J40" r:id="rId41" display="https://www.digikey.com/en/products/detail/stmicroelectronics/STPS0540Z/1039586" xr:uid="{8D0AC1D3-7189-4BC5-9263-27202B655C11}"/>
    <hyperlink ref="J3" r:id="rId42" display="https://www.digikey.com/en/products/detail/samtec-inc/BCS-119-L-S-TE/1100402" xr:uid="{D3BD457F-C83E-4F62-BE33-8357B50B8868}"/>
    <hyperlink ref="J4" r:id="rId43" display="https://www.digikey.com/en/products/detail/samtec-inc/BCS-119-L-S-TE/1100402" xr:uid="{B28CF648-78A9-454C-B5C4-260E2C0D36E1}"/>
    <hyperlink ref="J44" r:id="rId44" display="https://www.digikey.com/en/products/detail/yageo/RC1206FR-074R99L/728895" xr:uid="{2F691E25-8B7C-406E-A92F-7C2FBB9B7E8D}"/>
    <hyperlink ref="J43" r:id="rId45" display="https://www.digikey.com/en/products/detail/stackpole-electronics-inc/RMCF0805FT100K/1760712" xr:uid="{2A7E77ED-D01C-4382-A10E-D40F88102ECC}"/>
    <hyperlink ref="J35" r:id="rId46" display="https://www.digikey.com/en/products/detail/stackpole-electronics-inc/RNF18FTD33K0/6269944" xr:uid="{E1B93730-E5CB-4DA9-9570-5CE41E1296C0}"/>
    <hyperlink ref="J34" r:id="rId47" display="https://www.digikey.com/en/products/detail/vishay-dale/RLR05C1003FSRE6/10575551" xr:uid="{293EEA71-ED09-4EB1-B10A-0D9B359C3716}"/>
    <hyperlink ref="J29" r:id="rId48" display="https://www.digikey.com/en/products/detail/kemet/C320C104K5R5TA/818040" xr:uid="{E4596C56-C2DF-44AD-A49D-32A1D0526BAA}"/>
    <hyperlink ref="J38" r:id="rId49" display="https://www.digikey.com/en/products/detail/kemet/C320C105K5R5TA/12701317" xr:uid="{FD2553B3-56AD-49F9-837D-CB6A73C2EC45}"/>
    <hyperlink ref="J39" r:id="rId50" display="https://www.digikey.com/en/products/detail/kemet/C320C224K5R5TA/818064" xr:uid="{871D7FA0-E585-471B-858C-52067ACABE0C}"/>
    <hyperlink ref="J37" r:id="rId51" display="https://www.digikey.com/en/products/detail/kemet/C320C104K3R5TA/12701287" xr:uid="{4E208BCD-57D5-4BA4-A56C-4D24E78FFBC1}"/>
  </hyperlinks>
  <pageMargins left="0.7" right="0.7" top="0.75" bottom="0.75" header="0.3" footer="0.3"/>
  <pageSetup orientation="portrait" horizontalDpi="1200" verticalDpi="1200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PelletPirate_V2_BOM_2026_05_06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2026-05-07T14:02:03Z</dcterms:created>
  <dcterms:modified xsi:type="dcterms:W3CDTF">2026-05-17T04:13:27Z</dcterms:modified>
</cp:coreProperties>
</file>